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75aa51843a5f4f/Python Lab/Dati/"/>
    </mc:Choice>
  </mc:AlternateContent>
  <xr:revisionPtr revIDLastSave="32" documentId="8_{1516CF17-9AE6-4EB7-8959-9863596ACBDA}" xr6:coauthVersionLast="47" xr6:coauthVersionMax="47" xr10:uidLastSave="{EE9BFB4F-447D-4906-8B6D-63A54B4497BF}"/>
  <bookViews>
    <workbookView xWindow="-120" yWindow="-120" windowWidth="20730" windowHeight="11040" activeTab="2" xr2:uid="{50EAA0F3-C5D3-49D6-A0B4-D78FFA2F8E8D}"/>
  </bookViews>
  <sheets>
    <sheet name="T_DECO_ECB" sheetId="10" r:id="rId1"/>
    <sheet name="T_DECO_FRED" sheetId="1" r:id="rId2"/>
    <sheet name="T_DECO_EUROSTAT" sheetId="3" r:id="rId3"/>
    <sheet name="T_DECO_EUROSTAT_GEO" sheetId="4" r:id="rId4"/>
  </sheets>
  <definedNames>
    <definedName name="_xlnm._FilterDatabase" localSheetId="0" hidden="1">T_DECO_ECB!$A$1:$J$307</definedName>
    <definedName name="_xlnm._FilterDatabase" localSheetId="2" hidden="1">T_DECO_EUROSTAT!$A$1:$S$561</definedName>
    <definedName name="_xlnm._FilterDatabase" localSheetId="1" hidden="1">T_DECO_FRED!$A$1:$I$352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7" i="10" l="1"/>
  <c r="J307" i="10" s="1"/>
  <c r="I307" i="10"/>
  <c r="H280" i="10"/>
  <c r="J280" i="10" s="1"/>
  <c r="I280" i="10"/>
  <c r="H281" i="10"/>
  <c r="J281" i="10" s="1"/>
  <c r="I281" i="10"/>
  <c r="H304" i="10"/>
  <c r="J304" i="10" s="1"/>
  <c r="I304" i="10"/>
  <c r="H305" i="10"/>
  <c r="J305" i="10" s="1"/>
  <c r="I305" i="10"/>
  <c r="H306" i="10"/>
  <c r="J306" i="10" s="1"/>
  <c r="I306" i="10"/>
  <c r="H2" i="10"/>
  <c r="J2" i="10" s="1"/>
  <c r="I2" i="10"/>
  <c r="H3" i="10"/>
  <c r="J3" i="10" s="1"/>
  <c r="I3" i="10"/>
  <c r="H275" i="10"/>
  <c r="J275" i="10" s="1"/>
  <c r="I275" i="10"/>
  <c r="H276" i="10"/>
  <c r="J276" i="10" s="1"/>
  <c r="I276" i="10"/>
  <c r="H277" i="10"/>
  <c r="J277" i="10" s="1"/>
  <c r="I277" i="10"/>
  <c r="H278" i="10"/>
  <c r="J278" i="10" s="1"/>
  <c r="I278" i="10"/>
  <c r="H279" i="10"/>
  <c r="J279" i="10" s="1"/>
  <c r="I279" i="10"/>
  <c r="H282" i="10"/>
  <c r="J282" i="10" s="1"/>
  <c r="I282" i="10"/>
  <c r="H283" i="10"/>
  <c r="J283" i="10" s="1"/>
  <c r="I283" i="10"/>
  <c r="H284" i="10"/>
  <c r="J284" i="10" s="1"/>
  <c r="I284" i="10"/>
  <c r="H285" i="10"/>
  <c r="J285" i="10" s="1"/>
  <c r="I285" i="10"/>
  <c r="H286" i="10"/>
  <c r="J286" i="10" s="1"/>
  <c r="I286" i="10"/>
  <c r="H287" i="10"/>
  <c r="J287" i="10" s="1"/>
  <c r="I287" i="10"/>
  <c r="H288" i="10"/>
  <c r="J288" i="10" s="1"/>
  <c r="I288" i="10"/>
  <c r="H289" i="10"/>
  <c r="J289" i="10" s="1"/>
  <c r="I289" i="10"/>
  <c r="H290" i="10"/>
  <c r="J290" i="10" s="1"/>
  <c r="I290" i="10"/>
  <c r="H291" i="10"/>
  <c r="J291" i="10" s="1"/>
  <c r="I291" i="10"/>
  <c r="H292" i="10"/>
  <c r="J292" i="10" s="1"/>
  <c r="I292" i="10"/>
  <c r="H293" i="10"/>
  <c r="J293" i="10" s="1"/>
  <c r="I293" i="10"/>
  <c r="H294" i="10"/>
  <c r="J294" i="10" s="1"/>
  <c r="I294" i="10"/>
  <c r="H295" i="10"/>
  <c r="J295" i="10" s="1"/>
  <c r="I295" i="10"/>
  <c r="H296" i="10"/>
  <c r="J296" i="10" s="1"/>
  <c r="I296" i="10"/>
  <c r="H297" i="10"/>
  <c r="J297" i="10" s="1"/>
  <c r="I297" i="10"/>
  <c r="H298" i="10"/>
  <c r="J298" i="10" s="1"/>
  <c r="I298" i="10"/>
  <c r="H299" i="10"/>
  <c r="J299" i="10" s="1"/>
  <c r="I299" i="10"/>
  <c r="H300" i="10"/>
  <c r="J300" i="10" s="1"/>
  <c r="I300" i="10"/>
  <c r="H301" i="10"/>
  <c r="J301" i="10" s="1"/>
  <c r="I301" i="10"/>
  <c r="H302" i="10"/>
  <c r="J302" i="10" s="1"/>
  <c r="I302" i="10"/>
  <c r="H303" i="10"/>
  <c r="J303" i="10" s="1"/>
  <c r="I303" i="10"/>
  <c r="H4" i="10"/>
  <c r="J4" i="10" s="1"/>
  <c r="I4" i="10"/>
  <c r="H5" i="10"/>
  <c r="J5" i="10" s="1"/>
  <c r="I5" i="10"/>
  <c r="H6" i="10"/>
  <c r="J6" i="10" s="1"/>
  <c r="I6" i="10"/>
  <c r="H7" i="10"/>
  <c r="J7" i="10" s="1"/>
  <c r="I7" i="10"/>
  <c r="H8" i="10"/>
  <c r="J8" i="10" s="1"/>
  <c r="I8" i="10"/>
  <c r="H9" i="10"/>
  <c r="J9" i="10" s="1"/>
  <c r="I9" i="10"/>
  <c r="H10" i="10"/>
  <c r="J10" i="10" s="1"/>
  <c r="I10" i="10"/>
  <c r="H11" i="10"/>
  <c r="J11" i="10" s="1"/>
  <c r="I11" i="10"/>
  <c r="H12" i="10"/>
  <c r="J12" i="10" s="1"/>
  <c r="I12" i="10"/>
  <c r="H13" i="10"/>
  <c r="J13" i="10" s="1"/>
  <c r="I13" i="10"/>
  <c r="H14" i="10"/>
  <c r="J14" i="10" s="1"/>
  <c r="I14" i="10"/>
  <c r="H15" i="10"/>
  <c r="J15" i="10" s="1"/>
  <c r="I15" i="10"/>
  <c r="H16" i="10"/>
  <c r="J16" i="10" s="1"/>
  <c r="I16" i="10"/>
  <c r="H17" i="10"/>
  <c r="J17" i="10" s="1"/>
  <c r="I17" i="10"/>
  <c r="H18" i="10"/>
  <c r="J18" i="10" s="1"/>
  <c r="I18" i="10"/>
  <c r="H19" i="10"/>
  <c r="J19" i="10" s="1"/>
  <c r="I19" i="10"/>
  <c r="H20" i="10"/>
  <c r="J20" i="10" s="1"/>
  <c r="I20" i="10"/>
  <c r="H21" i="10"/>
  <c r="J21" i="10" s="1"/>
  <c r="I21" i="10"/>
  <c r="H22" i="10"/>
  <c r="J22" i="10" s="1"/>
  <c r="I22" i="10"/>
  <c r="H23" i="10"/>
  <c r="J23" i="10" s="1"/>
  <c r="I23" i="10"/>
  <c r="H24" i="10"/>
  <c r="J24" i="10" s="1"/>
  <c r="I24" i="10"/>
  <c r="H25" i="10"/>
  <c r="J25" i="10" s="1"/>
  <c r="I25" i="10"/>
  <c r="H26" i="10"/>
  <c r="J26" i="10" s="1"/>
  <c r="I26" i="10"/>
  <c r="H27" i="10"/>
  <c r="J27" i="10" s="1"/>
  <c r="I27" i="10"/>
  <c r="H28" i="10"/>
  <c r="J28" i="10" s="1"/>
  <c r="I28" i="10"/>
  <c r="H29" i="10"/>
  <c r="J29" i="10" s="1"/>
  <c r="I29" i="10"/>
  <c r="H30" i="10"/>
  <c r="J30" i="10" s="1"/>
  <c r="I30" i="10"/>
  <c r="H31" i="10"/>
  <c r="J31" i="10" s="1"/>
  <c r="I31" i="10"/>
  <c r="H32" i="10"/>
  <c r="J32" i="10" s="1"/>
  <c r="I32" i="10"/>
  <c r="H33" i="10"/>
  <c r="J33" i="10" s="1"/>
  <c r="I33" i="10"/>
  <c r="H34" i="10"/>
  <c r="J34" i="10" s="1"/>
  <c r="I34" i="10"/>
  <c r="H35" i="10"/>
  <c r="J35" i="10" s="1"/>
  <c r="I35" i="10"/>
  <c r="H36" i="10"/>
  <c r="J36" i="10" s="1"/>
  <c r="I36" i="10"/>
  <c r="H37" i="10"/>
  <c r="J37" i="10" s="1"/>
  <c r="I37" i="10"/>
  <c r="H38" i="10"/>
  <c r="J38" i="10" s="1"/>
  <c r="I38" i="10"/>
  <c r="H39" i="10"/>
  <c r="J39" i="10" s="1"/>
  <c r="I39" i="10"/>
  <c r="H40" i="10"/>
  <c r="J40" i="10" s="1"/>
  <c r="I40" i="10"/>
  <c r="H41" i="10"/>
  <c r="J41" i="10" s="1"/>
  <c r="I41" i="10"/>
  <c r="H42" i="10"/>
  <c r="J42" i="10" s="1"/>
  <c r="I42" i="10"/>
  <c r="H43" i="10"/>
  <c r="J43" i="10" s="1"/>
  <c r="I43" i="10"/>
  <c r="H44" i="10"/>
  <c r="J44" i="10" s="1"/>
  <c r="I44" i="10"/>
  <c r="H45" i="10"/>
  <c r="J45" i="10" s="1"/>
  <c r="I45" i="10"/>
  <c r="H46" i="10"/>
  <c r="J46" i="10" s="1"/>
  <c r="I46" i="10"/>
  <c r="H47" i="10"/>
  <c r="J47" i="10" s="1"/>
  <c r="I47" i="10"/>
  <c r="H48" i="10"/>
  <c r="J48" i="10" s="1"/>
  <c r="I48" i="10"/>
  <c r="H49" i="10"/>
  <c r="J49" i="10" s="1"/>
  <c r="I49" i="10"/>
  <c r="H50" i="10"/>
  <c r="J50" i="10" s="1"/>
  <c r="I50" i="10"/>
  <c r="H51" i="10"/>
  <c r="J51" i="10" s="1"/>
  <c r="I51" i="10"/>
  <c r="H52" i="10"/>
  <c r="J52" i="10" s="1"/>
  <c r="I52" i="10"/>
  <c r="H53" i="10"/>
  <c r="J53" i="10" s="1"/>
  <c r="I53" i="10"/>
  <c r="H54" i="10"/>
  <c r="J54" i="10" s="1"/>
  <c r="I54" i="10"/>
  <c r="H55" i="10"/>
  <c r="J55" i="10" s="1"/>
  <c r="I55" i="10"/>
  <c r="H56" i="10"/>
  <c r="J56" i="10" s="1"/>
  <c r="I56" i="10"/>
  <c r="H57" i="10"/>
  <c r="J57" i="10" s="1"/>
  <c r="I57" i="10"/>
  <c r="H58" i="10"/>
  <c r="J58" i="10" s="1"/>
  <c r="I58" i="10"/>
  <c r="H59" i="10"/>
  <c r="J59" i="10" s="1"/>
  <c r="I59" i="10"/>
  <c r="H60" i="10"/>
  <c r="J60" i="10" s="1"/>
  <c r="I60" i="10"/>
  <c r="H61" i="10"/>
  <c r="J61" i="10" s="1"/>
  <c r="I61" i="10"/>
  <c r="H62" i="10"/>
  <c r="J62" i="10" s="1"/>
  <c r="I62" i="10"/>
  <c r="H63" i="10"/>
  <c r="J63" i="10" s="1"/>
  <c r="I63" i="10"/>
  <c r="H64" i="10"/>
  <c r="J64" i="10" s="1"/>
  <c r="I64" i="10"/>
  <c r="H65" i="10"/>
  <c r="J65" i="10" s="1"/>
  <c r="I65" i="10"/>
  <c r="H66" i="10"/>
  <c r="J66" i="10" s="1"/>
  <c r="I66" i="10"/>
  <c r="H67" i="10"/>
  <c r="J67" i="10" s="1"/>
  <c r="I67" i="10"/>
  <c r="H68" i="10"/>
  <c r="J68" i="10" s="1"/>
  <c r="I68" i="10"/>
  <c r="H69" i="10"/>
  <c r="J69" i="10" s="1"/>
  <c r="I69" i="10"/>
  <c r="H70" i="10"/>
  <c r="J70" i="10" s="1"/>
  <c r="I70" i="10"/>
  <c r="H71" i="10"/>
  <c r="J71" i="10" s="1"/>
  <c r="I71" i="10"/>
  <c r="H72" i="10"/>
  <c r="J72" i="10" s="1"/>
  <c r="I72" i="10"/>
  <c r="H73" i="10"/>
  <c r="J73" i="10" s="1"/>
  <c r="I73" i="10"/>
  <c r="H74" i="10"/>
  <c r="J74" i="10" s="1"/>
  <c r="I74" i="10"/>
  <c r="H75" i="10"/>
  <c r="J75" i="10" s="1"/>
  <c r="I75" i="10"/>
  <c r="H76" i="10"/>
  <c r="J76" i="10" s="1"/>
  <c r="I76" i="10"/>
  <c r="H77" i="10"/>
  <c r="J77" i="10" s="1"/>
  <c r="I77" i="10"/>
  <c r="H78" i="10"/>
  <c r="J78" i="10" s="1"/>
  <c r="I78" i="10"/>
  <c r="H79" i="10"/>
  <c r="J79" i="10" s="1"/>
  <c r="I79" i="10"/>
  <c r="H80" i="10"/>
  <c r="J80" i="10" s="1"/>
  <c r="I80" i="10"/>
  <c r="H81" i="10"/>
  <c r="J81" i="10" s="1"/>
  <c r="I81" i="10"/>
  <c r="H82" i="10"/>
  <c r="J82" i="10" s="1"/>
  <c r="I82" i="10"/>
  <c r="H83" i="10"/>
  <c r="J83" i="10" s="1"/>
  <c r="I83" i="10"/>
  <c r="H84" i="10"/>
  <c r="J84" i="10" s="1"/>
  <c r="I84" i="10"/>
  <c r="H85" i="10"/>
  <c r="J85" i="10" s="1"/>
  <c r="I85" i="10"/>
  <c r="H86" i="10"/>
  <c r="J86" i="10" s="1"/>
  <c r="I86" i="10"/>
  <c r="H87" i="10"/>
  <c r="J87" i="10" s="1"/>
  <c r="I87" i="10"/>
  <c r="H88" i="10"/>
  <c r="J88" i="10" s="1"/>
  <c r="I88" i="10"/>
  <c r="H89" i="10"/>
  <c r="J89" i="10" s="1"/>
  <c r="I89" i="10"/>
  <c r="H90" i="10"/>
  <c r="J90" i="10" s="1"/>
  <c r="I90" i="10"/>
  <c r="H91" i="10"/>
  <c r="J91" i="10" s="1"/>
  <c r="I91" i="10"/>
  <c r="H92" i="10"/>
  <c r="J92" i="10" s="1"/>
  <c r="I92" i="10"/>
  <c r="H93" i="10"/>
  <c r="J93" i="10" s="1"/>
  <c r="I93" i="10"/>
  <c r="H94" i="10"/>
  <c r="J94" i="10" s="1"/>
  <c r="I94" i="10"/>
  <c r="H95" i="10"/>
  <c r="J95" i="10" s="1"/>
  <c r="I95" i="10"/>
  <c r="H96" i="10"/>
  <c r="J96" i="10" s="1"/>
  <c r="I96" i="10"/>
  <c r="H97" i="10"/>
  <c r="J97" i="10" s="1"/>
  <c r="I97" i="10"/>
  <c r="H98" i="10"/>
  <c r="J98" i="10" s="1"/>
  <c r="I98" i="10"/>
  <c r="H99" i="10"/>
  <c r="J99" i="10" s="1"/>
  <c r="I99" i="10"/>
  <c r="H100" i="10"/>
  <c r="J100" i="10" s="1"/>
  <c r="I100" i="10"/>
  <c r="H101" i="10"/>
  <c r="J101" i="10" s="1"/>
  <c r="I101" i="10"/>
  <c r="H102" i="10"/>
  <c r="J102" i="10" s="1"/>
  <c r="I102" i="10"/>
  <c r="H103" i="10"/>
  <c r="J103" i="10" s="1"/>
  <c r="I103" i="10"/>
  <c r="H104" i="10"/>
  <c r="J104" i="10" s="1"/>
  <c r="I104" i="10"/>
  <c r="H105" i="10"/>
  <c r="J105" i="10" s="1"/>
  <c r="I105" i="10"/>
  <c r="H106" i="10"/>
  <c r="J106" i="10" s="1"/>
  <c r="I106" i="10"/>
  <c r="H107" i="10"/>
  <c r="J107" i="10" s="1"/>
  <c r="I107" i="10"/>
  <c r="H108" i="10"/>
  <c r="J108" i="10" s="1"/>
  <c r="I108" i="10"/>
  <c r="H109" i="10"/>
  <c r="J109" i="10" s="1"/>
  <c r="I109" i="10"/>
  <c r="H110" i="10"/>
  <c r="J110" i="10" s="1"/>
  <c r="I110" i="10"/>
  <c r="H111" i="10"/>
  <c r="J111" i="10" s="1"/>
  <c r="I111" i="10"/>
  <c r="H112" i="10"/>
  <c r="J112" i="10" s="1"/>
  <c r="I112" i="10"/>
  <c r="H113" i="10"/>
  <c r="J113" i="10" s="1"/>
  <c r="I113" i="10"/>
  <c r="H114" i="10"/>
  <c r="J114" i="10" s="1"/>
  <c r="I114" i="10"/>
  <c r="H115" i="10"/>
  <c r="J115" i="10" s="1"/>
  <c r="I115" i="10"/>
  <c r="H116" i="10"/>
  <c r="J116" i="10" s="1"/>
  <c r="I116" i="10"/>
  <c r="H117" i="10"/>
  <c r="J117" i="10" s="1"/>
  <c r="I117" i="10"/>
  <c r="H118" i="10"/>
  <c r="J118" i="10" s="1"/>
  <c r="I118" i="10"/>
  <c r="H119" i="10"/>
  <c r="J119" i="10" s="1"/>
  <c r="I119" i="10"/>
  <c r="H120" i="10"/>
  <c r="J120" i="10" s="1"/>
  <c r="I120" i="10"/>
  <c r="H121" i="10"/>
  <c r="J121" i="10" s="1"/>
  <c r="I121" i="10"/>
  <c r="H122" i="10"/>
  <c r="J122" i="10" s="1"/>
  <c r="I122" i="10"/>
  <c r="H123" i="10"/>
  <c r="J123" i="10" s="1"/>
  <c r="I123" i="10"/>
  <c r="H124" i="10"/>
  <c r="J124" i="10" s="1"/>
  <c r="I124" i="10"/>
  <c r="H125" i="10"/>
  <c r="J125" i="10" s="1"/>
  <c r="I125" i="10"/>
  <c r="H126" i="10"/>
  <c r="J126" i="10" s="1"/>
  <c r="I126" i="10"/>
  <c r="H127" i="10"/>
  <c r="J127" i="10" s="1"/>
  <c r="I127" i="10"/>
  <c r="H128" i="10"/>
  <c r="J128" i="10" s="1"/>
  <c r="I128" i="10"/>
  <c r="H129" i="10"/>
  <c r="J129" i="10" s="1"/>
  <c r="I129" i="10"/>
  <c r="H130" i="10"/>
  <c r="J130" i="10" s="1"/>
  <c r="I130" i="10"/>
  <c r="H131" i="10"/>
  <c r="J131" i="10" s="1"/>
  <c r="I131" i="10"/>
  <c r="H132" i="10"/>
  <c r="J132" i="10" s="1"/>
  <c r="I132" i="10"/>
  <c r="H133" i="10"/>
  <c r="J133" i="10" s="1"/>
  <c r="I133" i="10"/>
  <c r="H134" i="10"/>
  <c r="J134" i="10" s="1"/>
  <c r="I134" i="10"/>
  <c r="H135" i="10"/>
  <c r="J135" i="10" s="1"/>
  <c r="I135" i="10"/>
  <c r="H136" i="10"/>
  <c r="J136" i="10" s="1"/>
  <c r="I136" i="10"/>
  <c r="H137" i="10"/>
  <c r="J137" i="10" s="1"/>
  <c r="I137" i="10"/>
  <c r="H138" i="10"/>
  <c r="J138" i="10" s="1"/>
  <c r="I138" i="10"/>
  <c r="H139" i="10"/>
  <c r="J139" i="10" s="1"/>
  <c r="I139" i="10"/>
  <c r="H140" i="10"/>
  <c r="J140" i="10" s="1"/>
  <c r="I140" i="10"/>
  <c r="H141" i="10"/>
  <c r="J141" i="10" s="1"/>
  <c r="I141" i="10"/>
  <c r="H142" i="10"/>
  <c r="J142" i="10" s="1"/>
  <c r="I142" i="10"/>
  <c r="H143" i="10"/>
  <c r="J143" i="10" s="1"/>
  <c r="I143" i="10"/>
  <c r="H144" i="10"/>
  <c r="J144" i="10" s="1"/>
  <c r="I144" i="10"/>
  <c r="H145" i="10"/>
  <c r="J145" i="10" s="1"/>
  <c r="I145" i="10"/>
  <c r="H146" i="10"/>
  <c r="J146" i="10" s="1"/>
  <c r="I146" i="10"/>
  <c r="H147" i="10"/>
  <c r="J147" i="10" s="1"/>
  <c r="I147" i="10"/>
  <c r="H148" i="10"/>
  <c r="J148" i="10" s="1"/>
  <c r="I148" i="10"/>
  <c r="H149" i="10"/>
  <c r="J149" i="10" s="1"/>
  <c r="I149" i="10"/>
  <c r="H150" i="10"/>
  <c r="J150" i="10" s="1"/>
  <c r="I150" i="10"/>
  <c r="H151" i="10"/>
  <c r="J151" i="10" s="1"/>
  <c r="I151" i="10"/>
  <c r="H152" i="10"/>
  <c r="J152" i="10" s="1"/>
  <c r="I152" i="10"/>
  <c r="H153" i="10"/>
  <c r="J153" i="10" s="1"/>
  <c r="I153" i="10"/>
  <c r="H154" i="10"/>
  <c r="J154" i="10" s="1"/>
  <c r="I154" i="10"/>
  <c r="H155" i="10"/>
  <c r="J155" i="10" s="1"/>
  <c r="I155" i="10"/>
  <c r="H156" i="10"/>
  <c r="J156" i="10" s="1"/>
  <c r="I156" i="10"/>
  <c r="H157" i="10"/>
  <c r="J157" i="10" s="1"/>
  <c r="I157" i="10"/>
  <c r="H158" i="10"/>
  <c r="J158" i="10" s="1"/>
  <c r="I158" i="10"/>
  <c r="H159" i="10"/>
  <c r="J159" i="10" s="1"/>
  <c r="I159" i="10"/>
  <c r="H160" i="10"/>
  <c r="J160" i="10" s="1"/>
  <c r="I160" i="10"/>
  <c r="H161" i="10"/>
  <c r="J161" i="10" s="1"/>
  <c r="I161" i="10"/>
  <c r="H162" i="10"/>
  <c r="J162" i="10" s="1"/>
  <c r="I162" i="10"/>
  <c r="H163" i="10"/>
  <c r="J163" i="10" s="1"/>
  <c r="I163" i="10"/>
  <c r="H164" i="10"/>
  <c r="J164" i="10" s="1"/>
  <c r="I164" i="10"/>
  <c r="H165" i="10"/>
  <c r="J165" i="10" s="1"/>
  <c r="I165" i="10"/>
  <c r="H166" i="10"/>
  <c r="J166" i="10" s="1"/>
  <c r="I166" i="10"/>
  <c r="H167" i="10"/>
  <c r="J167" i="10" s="1"/>
  <c r="I167" i="10"/>
  <c r="H168" i="10"/>
  <c r="J168" i="10" s="1"/>
  <c r="I168" i="10"/>
  <c r="H169" i="10"/>
  <c r="J169" i="10" s="1"/>
  <c r="I169" i="10"/>
  <c r="H170" i="10"/>
  <c r="J170" i="10" s="1"/>
  <c r="I170" i="10"/>
  <c r="H171" i="10"/>
  <c r="J171" i="10" s="1"/>
  <c r="I171" i="10"/>
  <c r="H172" i="10"/>
  <c r="J172" i="10" s="1"/>
  <c r="I172" i="10"/>
  <c r="H173" i="10"/>
  <c r="J173" i="10" s="1"/>
  <c r="I173" i="10"/>
  <c r="H174" i="10"/>
  <c r="J174" i="10" s="1"/>
  <c r="I174" i="10"/>
  <c r="H175" i="10"/>
  <c r="J175" i="10" s="1"/>
  <c r="I175" i="10"/>
  <c r="H176" i="10"/>
  <c r="J176" i="10" s="1"/>
  <c r="I176" i="10"/>
  <c r="H177" i="10"/>
  <c r="J177" i="10" s="1"/>
  <c r="I177" i="10"/>
  <c r="H178" i="10"/>
  <c r="J178" i="10" s="1"/>
  <c r="I178" i="10"/>
  <c r="H179" i="10"/>
  <c r="J179" i="10" s="1"/>
  <c r="I179" i="10"/>
  <c r="H180" i="10"/>
  <c r="J180" i="10" s="1"/>
  <c r="I180" i="10"/>
  <c r="H181" i="10"/>
  <c r="J181" i="10" s="1"/>
  <c r="I181" i="10"/>
  <c r="H182" i="10"/>
  <c r="J182" i="10" s="1"/>
  <c r="I182" i="10"/>
  <c r="H183" i="10"/>
  <c r="J183" i="10" s="1"/>
  <c r="I183" i="10"/>
  <c r="H184" i="10"/>
  <c r="J184" i="10" s="1"/>
  <c r="I184" i="10"/>
  <c r="H185" i="10"/>
  <c r="J185" i="10" s="1"/>
  <c r="I185" i="10"/>
  <c r="H186" i="10"/>
  <c r="J186" i="10" s="1"/>
  <c r="I186" i="10"/>
  <c r="H187" i="10"/>
  <c r="J187" i="10" s="1"/>
  <c r="I187" i="10"/>
  <c r="H188" i="10"/>
  <c r="J188" i="10" s="1"/>
  <c r="I188" i="10"/>
  <c r="H189" i="10"/>
  <c r="J189" i="10" s="1"/>
  <c r="I189" i="10"/>
  <c r="H190" i="10"/>
  <c r="J190" i="10" s="1"/>
  <c r="I190" i="10"/>
  <c r="H191" i="10"/>
  <c r="J191" i="10" s="1"/>
  <c r="I191" i="10"/>
  <c r="H192" i="10"/>
  <c r="J192" i="10" s="1"/>
  <c r="I192" i="10"/>
  <c r="H193" i="10"/>
  <c r="J193" i="10" s="1"/>
  <c r="I193" i="10"/>
  <c r="H194" i="10"/>
  <c r="J194" i="10" s="1"/>
  <c r="I194" i="10"/>
  <c r="H195" i="10"/>
  <c r="J195" i="10" s="1"/>
  <c r="I195" i="10"/>
  <c r="H196" i="10"/>
  <c r="J196" i="10" s="1"/>
  <c r="I196" i="10"/>
  <c r="H197" i="10"/>
  <c r="J197" i="10" s="1"/>
  <c r="I197" i="10"/>
  <c r="H198" i="10"/>
  <c r="J198" i="10" s="1"/>
  <c r="I198" i="10"/>
  <c r="H199" i="10"/>
  <c r="J199" i="10" s="1"/>
  <c r="I199" i="10"/>
  <c r="H200" i="10"/>
  <c r="J200" i="10" s="1"/>
  <c r="I200" i="10"/>
  <c r="H201" i="10"/>
  <c r="J201" i="10" s="1"/>
  <c r="I201" i="10"/>
  <c r="H202" i="10"/>
  <c r="J202" i="10" s="1"/>
  <c r="I202" i="10"/>
  <c r="H203" i="10"/>
  <c r="J203" i="10" s="1"/>
  <c r="I203" i="10"/>
  <c r="H204" i="10"/>
  <c r="J204" i="10" s="1"/>
  <c r="I204" i="10"/>
  <c r="H205" i="10"/>
  <c r="J205" i="10" s="1"/>
  <c r="I205" i="10"/>
  <c r="H206" i="10"/>
  <c r="J206" i="10" s="1"/>
  <c r="I206" i="10"/>
  <c r="H207" i="10"/>
  <c r="J207" i="10" s="1"/>
  <c r="I207" i="10"/>
  <c r="H208" i="10"/>
  <c r="J208" i="10" s="1"/>
  <c r="I208" i="10"/>
  <c r="H209" i="10"/>
  <c r="J209" i="10" s="1"/>
  <c r="I209" i="10"/>
  <c r="H210" i="10"/>
  <c r="J210" i="10" s="1"/>
  <c r="I210" i="10"/>
  <c r="H211" i="10"/>
  <c r="J211" i="10" s="1"/>
  <c r="I211" i="10"/>
  <c r="H212" i="10"/>
  <c r="J212" i="10" s="1"/>
  <c r="I212" i="10"/>
  <c r="H213" i="10"/>
  <c r="J213" i="10" s="1"/>
  <c r="I213" i="10"/>
  <c r="H214" i="10"/>
  <c r="J214" i="10" s="1"/>
  <c r="I214" i="10"/>
  <c r="H215" i="10"/>
  <c r="J215" i="10" s="1"/>
  <c r="I215" i="10"/>
  <c r="H216" i="10"/>
  <c r="J216" i="10" s="1"/>
  <c r="I216" i="10"/>
  <c r="H217" i="10"/>
  <c r="J217" i="10" s="1"/>
  <c r="I217" i="10"/>
  <c r="H218" i="10"/>
  <c r="J218" i="10" s="1"/>
  <c r="I218" i="10"/>
  <c r="H219" i="10"/>
  <c r="J219" i="10" s="1"/>
  <c r="I219" i="10"/>
  <c r="H220" i="10"/>
  <c r="J220" i="10" s="1"/>
  <c r="I220" i="10"/>
  <c r="H221" i="10"/>
  <c r="J221" i="10" s="1"/>
  <c r="I221" i="10"/>
  <c r="H222" i="10"/>
  <c r="J222" i="10" s="1"/>
  <c r="I222" i="10"/>
  <c r="H223" i="10"/>
  <c r="J223" i="10" s="1"/>
  <c r="I223" i="10"/>
  <c r="H224" i="10"/>
  <c r="J224" i="10" s="1"/>
  <c r="I224" i="10"/>
  <c r="H225" i="10"/>
  <c r="J225" i="10" s="1"/>
  <c r="I225" i="10"/>
  <c r="H226" i="10"/>
  <c r="J226" i="10" s="1"/>
  <c r="I226" i="10"/>
  <c r="H227" i="10"/>
  <c r="J227" i="10" s="1"/>
  <c r="I227" i="10"/>
  <c r="H228" i="10"/>
  <c r="J228" i="10" s="1"/>
  <c r="I228" i="10"/>
  <c r="H229" i="10"/>
  <c r="J229" i="10" s="1"/>
  <c r="I229" i="10"/>
  <c r="H230" i="10"/>
  <c r="J230" i="10" s="1"/>
  <c r="I230" i="10"/>
  <c r="H231" i="10"/>
  <c r="J231" i="10" s="1"/>
  <c r="I231" i="10"/>
  <c r="H232" i="10"/>
  <c r="J232" i="10" s="1"/>
  <c r="I232" i="10"/>
  <c r="H233" i="10"/>
  <c r="J233" i="10" s="1"/>
  <c r="I233" i="10"/>
  <c r="H234" i="10"/>
  <c r="J234" i="10" s="1"/>
  <c r="I234" i="10"/>
  <c r="H235" i="10"/>
  <c r="J235" i="10" s="1"/>
  <c r="I235" i="10"/>
  <c r="H236" i="10"/>
  <c r="J236" i="10" s="1"/>
  <c r="I236" i="10"/>
  <c r="H237" i="10"/>
  <c r="J237" i="10" s="1"/>
  <c r="I237" i="10"/>
  <c r="H238" i="10"/>
  <c r="J238" i="10" s="1"/>
  <c r="I238" i="10"/>
  <c r="H239" i="10"/>
  <c r="J239" i="10" s="1"/>
  <c r="I239" i="10"/>
  <c r="H240" i="10"/>
  <c r="J240" i="10" s="1"/>
  <c r="I240" i="10"/>
  <c r="H241" i="10"/>
  <c r="J241" i="10" s="1"/>
  <c r="I241" i="10"/>
  <c r="H242" i="10"/>
  <c r="J242" i="10" s="1"/>
  <c r="I242" i="10"/>
  <c r="H243" i="10"/>
  <c r="J243" i="10" s="1"/>
  <c r="I243" i="10"/>
  <c r="H244" i="10"/>
  <c r="J244" i="10" s="1"/>
  <c r="I244" i="10"/>
  <c r="H245" i="10"/>
  <c r="J245" i="10" s="1"/>
  <c r="I245" i="10"/>
  <c r="H246" i="10"/>
  <c r="J246" i="10" s="1"/>
  <c r="I246" i="10"/>
  <c r="H247" i="10"/>
  <c r="J247" i="10" s="1"/>
  <c r="I247" i="10"/>
  <c r="H248" i="10"/>
  <c r="J248" i="10" s="1"/>
  <c r="I248" i="10"/>
  <c r="H249" i="10"/>
  <c r="J249" i="10" s="1"/>
  <c r="I249" i="10"/>
  <c r="H250" i="10"/>
  <c r="J250" i="10" s="1"/>
  <c r="I250" i="10"/>
  <c r="H251" i="10"/>
  <c r="J251" i="10" s="1"/>
  <c r="I251" i="10"/>
  <c r="H252" i="10"/>
  <c r="J252" i="10" s="1"/>
  <c r="I252" i="10"/>
  <c r="H253" i="10"/>
  <c r="J253" i="10" s="1"/>
  <c r="I253" i="10"/>
  <c r="H254" i="10"/>
  <c r="J254" i="10" s="1"/>
  <c r="I254" i="10"/>
  <c r="H255" i="10"/>
  <c r="J255" i="10" s="1"/>
  <c r="I255" i="10"/>
  <c r="H256" i="10"/>
  <c r="J256" i="10" s="1"/>
  <c r="I256" i="10"/>
  <c r="H257" i="10"/>
  <c r="J257" i="10" s="1"/>
  <c r="I257" i="10"/>
  <c r="H258" i="10"/>
  <c r="J258" i="10" s="1"/>
  <c r="I258" i="10"/>
  <c r="H259" i="10"/>
  <c r="J259" i="10" s="1"/>
  <c r="I259" i="10"/>
  <c r="H260" i="10"/>
  <c r="J260" i="10" s="1"/>
  <c r="I260" i="10"/>
  <c r="H261" i="10"/>
  <c r="J261" i="10" s="1"/>
  <c r="I261" i="10"/>
  <c r="H262" i="10"/>
  <c r="J262" i="10" s="1"/>
  <c r="I262" i="10"/>
  <c r="H263" i="10"/>
  <c r="J263" i="10" s="1"/>
  <c r="I263" i="10"/>
  <c r="H264" i="10"/>
  <c r="J264" i="10" s="1"/>
  <c r="I264" i="10"/>
  <c r="H265" i="10"/>
  <c r="J265" i="10" s="1"/>
  <c r="I265" i="10"/>
  <c r="H266" i="10"/>
  <c r="J266" i="10" s="1"/>
  <c r="I266" i="10"/>
  <c r="H267" i="10"/>
  <c r="J267" i="10" s="1"/>
  <c r="I267" i="10"/>
  <c r="H268" i="10"/>
  <c r="J268" i="10" s="1"/>
  <c r="I268" i="10"/>
  <c r="H269" i="10"/>
  <c r="J269" i="10" s="1"/>
  <c r="I269" i="10"/>
  <c r="H270" i="10"/>
  <c r="J270" i="10" s="1"/>
  <c r="I270" i="10"/>
  <c r="H271" i="10"/>
  <c r="J271" i="10" s="1"/>
  <c r="I271" i="10"/>
  <c r="H272" i="10"/>
  <c r="J272" i="10" s="1"/>
  <c r="I272" i="10"/>
  <c r="H273" i="10"/>
  <c r="J273" i="10" s="1"/>
  <c r="I273" i="10"/>
  <c r="H274" i="10"/>
  <c r="J274" i="10" s="1"/>
  <c r="I274" i="10"/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2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2" i="1"/>
</calcChain>
</file>

<file path=xl/sharedStrings.xml><?xml version="1.0" encoding="utf-8"?>
<sst xmlns="http://schemas.openxmlformats.org/spreadsheetml/2006/main" count="11010" uniqueCount="2666">
  <si>
    <t>PROVIDER</t>
  </si>
  <si>
    <t>SOURCE</t>
  </si>
  <si>
    <t>UNIT</t>
  </si>
  <si>
    <t>ADJUSTMENT</t>
  </si>
  <si>
    <t>TIPO</t>
  </si>
  <si>
    <t>DES</t>
  </si>
  <si>
    <t>FRED</t>
  </si>
  <si>
    <t>OECD</t>
  </si>
  <si>
    <t>BCCICP02ITM460S</t>
  </si>
  <si>
    <t>PERCENTAGE</t>
  </si>
  <si>
    <t>SA</t>
  </si>
  <si>
    <t>Business Tendency Surveys</t>
  </si>
  <si>
    <t>Business Tendency Surveys: Composite Business Confidence: Economic Activity: Construction for Italy</t>
  </si>
  <si>
    <t>BCEMFT02ITM460S</t>
  </si>
  <si>
    <t>Business Tendency Surveys: Employment: Economic Activity: Construction: Future Tendency for Italy</t>
  </si>
  <si>
    <t>BCOBLV02ITM460S</t>
  </si>
  <si>
    <t>Business Tendency Surveys: Order Books: Economic Activity: Construction: Current for Italy</t>
  </si>
  <si>
    <t>BCSPFT02ITM460S</t>
  </si>
  <si>
    <t>Business Tendency Surveys: Selling Prices: Economic Activity: Construction: Future Tendency for Italy</t>
  </si>
  <si>
    <t>BSCICP02ITM460S</t>
  </si>
  <si>
    <t>Business Tendency Surveys (Manufacturing): Confidence Indicators: Composite Indicators: National Indicator for Italy</t>
  </si>
  <si>
    <t>BSEMFT02ITM460S</t>
  </si>
  <si>
    <t>Business Tendency Surveys: Employment: Economic Activity: Manufacturing: Future Tendency for Italy</t>
  </si>
  <si>
    <t>BSFGLV02ITM460S</t>
  </si>
  <si>
    <t>Business Tendency Surveys: Finished Goods Stocks: Economic Activity: Manufacturing: Current for Italy</t>
  </si>
  <si>
    <t>BSOBLV02ITM460S</t>
  </si>
  <si>
    <t>Business Tendency Surveys: Order Books: Economic Activity: Manufacturing: Current for Italy</t>
  </si>
  <si>
    <t>BSPRFT02ITM460S</t>
  </si>
  <si>
    <t>Business Tendency Surveys: Production: Economic Activity: Manufacturing: Future Tendency for Italy</t>
  </si>
  <si>
    <t>BSPRTE02ITM460S</t>
  </si>
  <si>
    <t>Business Tendency Surveys: Production: Economic Activity: Manufacturing: Tendency for Italy</t>
  </si>
  <si>
    <t>BSSPFT02ITM460S</t>
  </si>
  <si>
    <t>Business Tendency Surveys: Selling Prices: Economic Activity: Manufacturing: Future Tendency for Italy</t>
  </si>
  <si>
    <t>BSXRLV02ITM086S</t>
  </si>
  <si>
    <t>Business Tendency Surveys: Export Order Books or Demand: Economic Activity: Manufacturing: Current for Italy</t>
  </si>
  <si>
    <t>ITABCBUTE02STSAM</t>
  </si>
  <si>
    <t>Business Tendency Surveys: Business Situation: Economic Activity: Construction: Tendency for Italy</t>
  </si>
  <si>
    <t>ITABRBUFT02STSAM</t>
  </si>
  <si>
    <t>Business Tendency Surveys: Business Situation: Economic Activity: Retail Trade, Except of Motor Vehicles and Motorcycles: Future Tendency for Italy</t>
  </si>
  <si>
    <t>ITABRBUTE02STSAM</t>
  </si>
  <si>
    <t>Business Tendency Surveys: Business Situation: Economic Activity: Retail Trade, Except of Motor Vehicles and Motorcycles: Tendency for Italy</t>
  </si>
  <si>
    <t>ITABRCICP02STSAM</t>
  </si>
  <si>
    <t>Business Tendency Surveys: Composite Business Confidence: Economic Activity: Retail Trade, Except of Motor Vehicles and Motorcycles for Italy</t>
  </si>
  <si>
    <t>ITABREMFT02STSAM</t>
  </si>
  <si>
    <t>Business Tendency Surveys: Employment: Economic Activity: Retail Trade, Except of Motor Vehicles and Motorcycles: Future Tendency for Italy</t>
  </si>
  <si>
    <t>ITABRODFT02STSAM</t>
  </si>
  <si>
    <t>Business Tendency Surveys: Order Intentions or Demand: Economic Activity: Retail Trade, Except of Motor Vehicles and Motorcycles: Future Tendency for Italy</t>
  </si>
  <si>
    <t>ITABRVSLV02STSAM</t>
  </si>
  <si>
    <t>Business Tendency Surveys: Volume of Stocks: Economic Activity: Retail Trade, Except of Motor Vehicles and Motorcycles: Current for Italy</t>
  </si>
  <si>
    <t>CSCICP02ITM460S</t>
  </si>
  <si>
    <t>Consumer Opinion Surveys</t>
  </si>
  <si>
    <t>Consumer Opinion Surveys: Composite Consumer Confidence for Italy</t>
  </si>
  <si>
    <t>CSESFT02ITM460S</t>
  </si>
  <si>
    <t>Consumer Opinion Surveys: Economic Situation: Future Tendency for Italy</t>
  </si>
  <si>
    <t>CSINFT02ITM460S</t>
  </si>
  <si>
    <t>Consumer Opinion Surveys: Consumer Prices: Future Tendency for Italy</t>
  </si>
  <si>
    <t>IMF</t>
  </si>
  <si>
    <t>NGDPDSAIXITQ</t>
  </si>
  <si>
    <t>EURO MLN</t>
  </si>
  <si>
    <t>National Account DEFLA</t>
  </si>
  <si>
    <t>Gross Domestic Product Deflator for Italy</t>
  </si>
  <si>
    <t>NGDPSAXDCITQ</t>
  </si>
  <si>
    <t>National Account Nominal</t>
  </si>
  <si>
    <t>Nominal Gross Domestic Product for Italy</t>
  </si>
  <si>
    <t>NCPSAXDCITQ</t>
  </si>
  <si>
    <t>Nominal Private Sector Final Consumption Expenditure for Italy</t>
  </si>
  <si>
    <t>NISAXDCITQ</t>
  </si>
  <si>
    <t>Nominal Gross Capital Formation for Italy</t>
  </si>
  <si>
    <t>NINVSAXDCITQ</t>
  </si>
  <si>
    <t>Nominal Changes in Inventories for Italy</t>
  </si>
  <si>
    <t>NCGGSAXDCITQ</t>
  </si>
  <si>
    <t>Nominal General Government Final Consumption Expenditure for Italy</t>
  </si>
  <si>
    <t>NXSAXDCITQ</t>
  </si>
  <si>
    <t>Nominal Exports of Goods and Services for Italy</t>
  </si>
  <si>
    <t>NMSAXDCITQ</t>
  </si>
  <si>
    <t>Nominal Imports of Goods and Services for Italy</t>
  </si>
  <si>
    <t>NCSAXDCITQ</t>
  </si>
  <si>
    <t>Nominal Final Consumption Expenditure for Italy</t>
  </si>
  <si>
    <t>NFISAXDCITQ</t>
  </si>
  <si>
    <t>Nominal Gross Fixed Capital Formation for Italy</t>
  </si>
  <si>
    <t>NGDPRSAXDCITQ</t>
  </si>
  <si>
    <t>National Account Real</t>
  </si>
  <si>
    <t>Real Gross Domestic Product for Italy</t>
  </si>
  <si>
    <t>NCPRSAXDCITQ</t>
  </si>
  <si>
    <t>Real Private Sector Final Consumption Expenditure for Italy</t>
  </si>
  <si>
    <t>NIRSAXDCITQ</t>
  </si>
  <si>
    <t>Real Gross Capital Formation for Italy</t>
  </si>
  <si>
    <t>NINVRSAXDCITQ</t>
  </si>
  <si>
    <t>Real Changes in Inventories for Italy</t>
  </si>
  <si>
    <t>NCGGRSAXDCITQ</t>
  </si>
  <si>
    <t>Real General Government Final Consumption Expenditure for Italy</t>
  </si>
  <si>
    <t>NXRSAXDCITQ</t>
  </si>
  <si>
    <t>Real Exports of Goods and Services for Italy</t>
  </si>
  <si>
    <t>NMRSAXDCITQ</t>
  </si>
  <si>
    <t>Real Imports of Goods and Services for Italy</t>
  </si>
  <si>
    <t>NCRSAXDCITQ</t>
  </si>
  <si>
    <t>Real Final Consumption Expenditure for Italy</t>
  </si>
  <si>
    <t>NFIRSAXDCITQ</t>
  </si>
  <si>
    <t>Real Gross Fixed Capital Formation for Italy</t>
  </si>
  <si>
    <t>LFEAAGTTITQ647N</t>
  </si>
  <si>
    <t>PERSONS</t>
  </si>
  <si>
    <t>NSA</t>
  </si>
  <si>
    <t>Labour</t>
  </si>
  <si>
    <t>Economic Activity: Agriculture, Forestry and Fishing: Total for Italy</t>
  </si>
  <si>
    <t>LFEACNTTITQ647N</t>
  </si>
  <si>
    <t>Economic Activity: Construction: Total for Italy</t>
  </si>
  <si>
    <t>LFEAICTTITQ647N</t>
  </si>
  <si>
    <t>Economic Activity: Industry (Including Construction): Total for Italy</t>
  </si>
  <si>
    <t>LFEAINTTITQ647N</t>
  </si>
  <si>
    <t>Economic Activity: Industry (Except Construction): Total for Italy</t>
  </si>
  <si>
    <t>LFEAMNTTITQ647N</t>
  </si>
  <si>
    <t>Economic Activity: Manufacturing: Total for Italy</t>
  </si>
  <si>
    <t>LFEASETTITQ647N</t>
  </si>
  <si>
    <t>Economic Activity: Services: Total for Italy</t>
  </si>
  <si>
    <t>LFEM24FEITQ647N</t>
  </si>
  <si>
    <t>Infra-Annual Labor Statistics: Employment Female: From 15 to 24 Years for Italy</t>
  </si>
  <si>
    <t>LFEM24MAITQ647N</t>
  </si>
  <si>
    <t>Infra-Annual Labor Statistics: Employment Male: From 15 to 24 Years for Italy</t>
  </si>
  <si>
    <t>LFEM24TTITQ647N</t>
  </si>
  <si>
    <t>Infra-Annual Labor Statistics: Employment Total: From 15 to 24 Years for Italy</t>
  </si>
  <si>
    <t>LFEM25FEITQ647N</t>
  </si>
  <si>
    <t>Infra-Annual Labor Statistics: Employment Female: From 25 to 54 Years for Italy</t>
  </si>
  <si>
    <t>LFEM25MAITQ647N</t>
  </si>
  <si>
    <t>Infra-Annual Labor Statistics: Employment Male: From 25 to 54 Years for Italy</t>
  </si>
  <si>
    <t>LFEM25TTITQ647N</t>
  </si>
  <si>
    <t>Infra-Annual Labor Statistics: Employment Total: From 25 to 54 Years for Italy</t>
  </si>
  <si>
    <t>LFEM55FEITQ647N</t>
  </si>
  <si>
    <t>Infra-Annual Labor Statistics: Employment Female: From 55 to 64 Years for Italy</t>
  </si>
  <si>
    <t>LFEM55MAITQ647N</t>
  </si>
  <si>
    <t>Infra-Annual Labor Statistics: Employment Male: From 55 to 64 Years for Italy</t>
  </si>
  <si>
    <t>LFEM55TTITQ647N</t>
  </si>
  <si>
    <t>Infra-Annual Labor Statistics: Employment Total: From 55 to 64 Years for Italy</t>
  </si>
  <si>
    <t>LFEM64FEITQ647N</t>
  </si>
  <si>
    <t>Infra-Annual Labor Statistics: Employment Female: From 15 to 64 Years for Italy</t>
  </si>
  <si>
    <t>LFEM64MAITQ647N</t>
  </si>
  <si>
    <t>Infra-Annual Labor Statistics: Employment Male: From 15 to 64 Years for Italy</t>
  </si>
  <si>
    <t>LFEM64TTITQ647N</t>
  </si>
  <si>
    <t>Infra-Annual Labor Statistics: Employment Total: From 15 to 64 Years for Italy</t>
  </si>
  <si>
    <t>LFEM74FEITQ647N</t>
  </si>
  <si>
    <t>Infra-Annual Labor Statistics: Employment Female: From 15 to 74 Years for Italy</t>
  </si>
  <si>
    <t>LFEM74MAITQ647N</t>
  </si>
  <si>
    <t>Infra-Annual Labor Statistics: Employment Male: From 15 to 74 Years for Italy</t>
  </si>
  <si>
    <t>LFEM74TTITQ647N</t>
  </si>
  <si>
    <t>Infra-Annual Labor Statistics: Employment Total: From 15 to 74 Years for Italy</t>
  </si>
  <si>
    <t>LFEMTTFEITQ647N</t>
  </si>
  <si>
    <t>Infra-Annual Labor Statistics: Employment Female: 15 Years or over for Italy</t>
  </si>
  <si>
    <t>LFEMTTMAITQ647N</t>
  </si>
  <si>
    <t>Infra-Annual Labor Statistics: Employment Male: 15 Years or over for Italy</t>
  </si>
  <si>
    <t>LFEMTTTTITQ647N</t>
  </si>
  <si>
    <t>Infra-Annual Labor Statistics: Employment Total: 15 Years or over for Italy</t>
  </si>
  <si>
    <t>LFESEETTITQ647N</t>
  </si>
  <si>
    <t>Infra-Annual Labor Statistics: Employees Total for Italy</t>
  </si>
  <si>
    <t>LFHU24FEITQ647N</t>
  </si>
  <si>
    <t>Infra-Annual Labor Statistics: Monthly Unemployment Female: From 15 to 24 Years for Italy</t>
  </si>
  <si>
    <t>LFHU24MAITQ647N</t>
  </si>
  <si>
    <t>Infra-Annual Labor Statistics: Monthly Unemployment Male: From 15 to 24 Years for Italy</t>
  </si>
  <si>
    <t>LFHU24TTITQ647N</t>
  </si>
  <si>
    <t>Infra-Annual Labor Statistics: Monthly Unemployment Total: From 15 to 24 Years for Italy</t>
  </si>
  <si>
    <t>LFHUADFEITQ647N</t>
  </si>
  <si>
    <t>Harmonized Unemployment: Monthly Levels: Aged 25 and over: Females for Italy</t>
  </si>
  <si>
    <t>LFHUADMAITQ647N</t>
  </si>
  <si>
    <t>Harmonized Unemployment: Monthly Levels: Aged 25 and over: Males for Italy</t>
  </si>
  <si>
    <t>LFHUADTTITQ647N</t>
  </si>
  <si>
    <t>Harmonized Unemployment: Monthly Levels: Aged 25 and over: All Persons for Italy</t>
  </si>
  <si>
    <t>LFHUTTFEITQ647N</t>
  </si>
  <si>
    <t>Infra-Annual Labor Statistics: Monthly Unemployment Female: 15 Years or over for Italy</t>
  </si>
  <si>
    <t>LFHUTTMAITQ647N</t>
  </si>
  <si>
    <t>Infra-Annual Labor Statistics: Monthly Unemployment Male: 15 Years or over for Italy</t>
  </si>
  <si>
    <t>LFHUTTTTITQ647N</t>
  </si>
  <si>
    <t>Infra-Annual Labor Statistics: Monthly Unemployment Total: 15 Years or over for Italy</t>
  </si>
  <si>
    <t>LFUN24FEITQ647N</t>
  </si>
  <si>
    <t>Infra-Annual Labor Statistics: Unemployment Female: From 15 to 24 Years for Italy</t>
  </si>
  <si>
    <t>LFUN24MAITQ647N</t>
  </si>
  <si>
    <t>Infra-Annual Labor Statistics: Unemployment Male: From 15 to 24 Years for Italy</t>
  </si>
  <si>
    <t>LFUN24TTITQ647N</t>
  </si>
  <si>
    <t>Infra-Annual Labor Statistics: Unemployment Total: From 15 to 24 Years for Italy</t>
  </si>
  <si>
    <t>LFUN25FEITQ647N</t>
  </si>
  <si>
    <t>Infra-Annual Labor Statistics: Unemployment Female: From 25 to 54 Years for Italy</t>
  </si>
  <si>
    <t>LFUN25MAITQ647N</t>
  </si>
  <si>
    <t>Infra-Annual Labor Statistics: Unemployment Male: From 25 to 54 Years for Italy</t>
  </si>
  <si>
    <t>LFUN25TTITQ647N</t>
  </si>
  <si>
    <t>Infra-Annual Labor Statistics: Unemployment Total: From 25 to 54 Years for Italy</t>
  </si>
  <si>
    <t>LFUN55FEITQ647N</t>
  </si>
  <si>
    <t>Infra-Annual Labor Statistics: Unemployment Female: From 55 to 64 Years for Italy</t>
  </si>
  <si>
    <t>LFUN55MAITQ647N</t>
  </si>
  <si>
    <t>Infra-Annual Labor Statistics: Unemployment Male: From 55 to 64 Years for Italy</t>
  </si>
  <si>
    <t>LFUN55TTITQ647N</t>
  </si>
  <si>
    <t>Infra-Annual Labor Statistics: Unemployment Total: From 55 to 64 Years for Italy</t>
  </si>
  <si>
    <t>LFUN64FEITQ647N</t>
  </si>
  <si>
    <t>Infra-Annual Labor Statistics: Unemployment Female: From 15 to 64 Years for Italy</t>
  </si>
  <si>
    <t>LFUN64MAITQ647N</t>
  </si>
  <si>
    <t>Infra-Annual Labor Statistics: Unemployment Male: From 15 to 64 Years for Italy</t>
  </si>
  <si>
    <t>LFUN64TTITQ647N</t>
  </si>
  <si>
    <t>Infra-Annual Labor Statistics: Unemployment Total: From 15 to 64 Years for Italy</t>
  </si>
  <si>
    <t>LFUN74FEITQ647N</t>
  </si>
  <si>
    <t>Infra-Annual Labor Statistics: Unemployment Female: From 15 to 74 Years for Italy</t>
  </si>
  <si>
    <t>LFUN74MAITQ647N</t>
  </si>
  <si>
    <t>Infra-Annual Labor Statistics: Unemployment Male: From 15 to 74 Years for Italy</t>
  </si>
  <si>
    <t>LFUN74TTITQ647N</t>
  </si>
  <si>
    <t>Infra-Annual Labor Statistics: Unemployment Total: From 15 to 74 Years for Italy</t>
  </si>
  <si>
    <t>LFUNTTFEITQ647N</t>
  </si>
  <si>
    <t>Infra-Annual Labor Statistics: Unemployment Female: 15 Years or over for Italy</t>
  </si>
  <si>
    <t>LFUNTTMAITQ647N</t>
  </si>
  <si>
    <t>Infra-Annual Labor Statistics: Unemployment Male: 15 Years or over for Italy</t>
  </si>
  <si>
    <t>LFUNTTTTITQ647N</t>
  </si>
  <si>
    <t>Infra-Annual Labor Statistics: Unemployment Total: 15 Years or over for Italy</t>
  </si>
  <si>
    <t>LREM24FEITQ156N</t>
  </si>
  <si>
    <t>Infra-Annual Labor Statistics: Employment Rate Female: From 15 to 24 Years for Italy</t>
  </si>
  <si>
    <t>LREM24MAITQ156N</t>
  </si>
  <si>
    <t>Infra-Annual Labor Statistics: Employment Rate Male: From 15 to 24 Years for Italy</t>
  </si>
  <si>
    <t>LREM24TTITQ156N</t>
  </si>
  <si>
    <t>Infra-Annual Labor Statistics: Employment Rate Total: From 15 to 24 Years for Italy</t>
  </si>
  <si>
    <t>LREM25FEITQ156N</t>
  </si>
  <si>
    <t>Infra-Annual Labor Statistics: Employment Rate Female: From 25 to 54 Years for Italy</t>
  </si>
  <si>
    <t>LREM25MAITQ156N</t>
  </si>
  <si>
    <t>Infra-Annual Labor Statistics: Employment Rate Male: From 25 to 54 Years for Italy</t>
  </si>
  <si>
    <t>LREM25TTITQ156N</t>
  </si>
  <si>
    <t>Infra-Annual Labor Statistics: Employment Rate Total: From 25 to 54 Years for Italy</t>
  </si>
  <si>
    <t>LREM55FEITQ156N</t>
  </si>
  <si>
    <t>Infra-Annual Labor Statistics: Employment Rate Female: From 55 to 64 Years for Italy</t>
  </si>
  <si>
    <t>LREM55MAITQ156N</t>
  </si>
  <si>
    <t>Infra-Annual Labor Statistics: Employment Rate Male: From 55 to 64 Years for Italy</t>
  </si>
  <si>
    <t>LREM55TTITQ156N</t>
  </si>
  <si>
    <t>Infra-Annual Labor Statistics: Employment Rate Total: From 55 to 64 Years for Italy</t>
  </si>
  <si>
    <t>LREM64FEITQ156N</t>
  </si>
  <si>
    <t>Infra-Annual Labor Statistics: Employment Rate Female: From 15 to 64 Years for Italy</t>
  </si>
  <si>
    <t>LREM64MAITQ156N</t>
  </si>
  <si>
    <t>Infra-Annual Labor Statistics: Employment Rate Male: From 15 to 64 Years for Italy</t>
  </si>
  <si>
    <t>LREM64TTITQ156N</t>
  </si>
  <si>
    <t>Infra-Annual Labor Statistics: Employment Rate Total: From 15 to 64 Years for Italy</t>
  </si>
  <si>
    <t>LREM74FEITQ156N</t>
  </si>
  <si>
    <t>Infra-Annual Labor Statistics: Employment Rate Female: From 15 to 74 Years for Italy</t>
  </si>
  <si>
    <t>LREM74MAITQ156N</t>
  </si>
  <si>
    <t>Infra-Annual Labor Statistics: Employment Rate Male: From 15 to 74 Years for Italy</t>
  </si>
  <si>
    <t>LREM74TTITQ156N</t>
  </si>
  <si>
    <t>Infra-Annual Labor Statistics: Employment Rate Total: From 15 to 74 Years for Italy</t>
  </si>
  <si>
    <t>LREMTTFEITQ156N</t>
  </si>
  <si>
    <t>Infra-Annual Labor Statistics: Employment Rate Female: 15 Years or over for Italy</t>
  </si>
  <si>
    <t>LREMTTMAITQ156N</t>
  </si>
  <si>
    <t>Infra-Annual Labor Statistics: Employment Rate Male: 15 Years or over for Italy</t>
  </si>
  <si>
    <t>LREMTTTTITQ156N</t>
  </si>
  <si>
    <t>Infra-Annual Labor Statistics: Employment Rate Total: 15 Years or over for Italy</t>
  </si>
  <si>
    <t>LREPTTFEITQ156N</t>
  </si>
  <si>
    <t>Employment to Population Rate: All Ages: Females for Italy</t>
  </si>
  <si>
    <t>LREPTTMAITQ156N</t>
  </si>
  <si>
    <t>Employment to Population Rate: All Ages: Males for Italy</t>
  </si>
  <si>
    <t>LREPTTTTITQ156N</t>
  </si>
  <si>
    <t>Employment to Population Rate: All Ages: All Persons for Italy</t>
  </si>
  <si>
    <t>LRHU24FEITQ156N</t>
  </si>
  <si>
    <t>Infra-Annual Labor Statistics: Monthly Unemployment Rate Female: From 15 to 24 Years for Italy</t>
  </si>
  <si>
    <t>LRHU24MAITQ156N</t>
  </si>
  <si>
    <t>Infra-Annual Labor Statistics: Monthly Unemployment Rate Male: From 15 to 24 Years for Italy</t>
  </si>
  <si>
    <t>LRHU24TTITQ156N</t>
  </si>
  <si>
    <t>Infra-Annual Labor Statistics: Monthly Unemployment Rate Total: From 15 to 24 Years for Italy</t>
  </si>
  <si>
    <t>LRHUADFEITQ156N</t>
  </si>
  <si>
    <t>Infra-Annual Labor Statistics: Monthly Unemployment Rate Female: 25 Years or over for Italy</t>
  </si>
  <si>
    <t>LRHUADMAITQ156N</t>
  </si>
  <si>
    <t>Infra-Annual Labor Statistics: Monthly Unemployment Rate Male: 25 Years or over for Italy</t>
  </si>
  <si>
    <t>LRHUADTTITQ156N</t>
  </si>
  <si>
    <t>Infra-Annual Labor Statistics: Monthly Unemployment Rate Total: 25 Years or over for Italy</t>
  </si>
  <si>
    <t>LRHUTTFEITQ156N</t>
  </si>
  <si>
    <t>Infra-Annual Labor Statistics: Monthly Unemployment Rate Female: 15 Years or over for Italy</t>
  </si>
  <si>
    <t>LRHUTTMAITQ156N</t>
  </si>
  <si>
    <t>Infra-Annual Labor Statistics: Monthly Unemployment Rate Male: 15 Years or over for Italy</t>
  </si>
  <si>
    <t>LRHUTTTTITQ156N</t>
  </si>
  <si>
    <t>Infra-Annual Labor Statistics: Monthly Unemployment Rate Total: 15 Years or over for Italy</t>
  </si>
  <si>
    <t>LRUN24FEITQ156N</t>
  </si>
  <si>
    <t>Infra-Annual Labor Statistics: Unemployment Rate Female: From 15 to 24 Years for Italy</t>
  </si>
  <si>
    <t>LRUN24MAITQ156N</t>
  </si>
  <si>
    <t>Infra-Annual Labor Statistics: Unemployment Rate Male: From 15 to 24 Years for Italy</t>
  </si>
  <si>
    <t>LRUN24TTITQ156N</t>
  </si>
  <si>
    <t>Infra-Annual Labor Statistics: Unemployment Rate Total: From 15 to 24 Years for Italy</t>
  </si>
  <si>
    <t>LRUN25FEITQ156N</t>
  </si>
  <si>
    <t>Infra-Annual Labor Statistics: Unemployment Rate Female: From 25 to 54 Years for Italy</t>
  </si>
  <si>
    <t>LRUN25MAITQ156N</t>
  </si>
  <si>
    <t>Infra-Annual Labor Statistics: Unemployment Rate Male: From 25 to 54 Years for Italy</t>
  </si>
  <si>
    <t>LRUN25TTITQ156N</t>
  </si>
  <si>
    <t>Infra-Annual Labor Statistics: Unemployment Rate Total: From 25 to 54 Years for Italy</t>
  </si>
  <si>
    <t>LRUN55FEITQ156N</t>
  </si>
  <si>
    <t>Infra-Annual Labor Statistics: Unemployment Rate Female: From 55 to 64 Years for Italy</t>
  </si>
  <si>
    <t>LRUN55MAITQ156N</t>
  </si>
  <si>
    <t>Infra-Annual Labor Statistics: Unemployment Rate Male: From 55 to 64 Years for Italy</t>
  </si>
  <si>
    <t>LRUN55TTITQ156N</t>
  </si>
  <si>
    <t>Infra-Annual Labor Statistics: Unemployment Rate Total: From 55 to 64 Years for Italy</t>
  </si>
  <si>
    <t>LRUN64FEITQ156N</t>
  </si>
  <si>
    <t>Infra-Annual Labor Statistics: Unemployment Rate Female: From 15 to 64 Years for Italy</t>
  </si>
  <si>
    <t>LRUN64MAITQ156N</t>
  </si>
  <si>
    <t>Infra-Annual Labor Statistics: Unemployment Rate Male: From 15 to 64 Years for Italy</t>
  </si>
  <si>
    <t>LRUN64TTITQ156N</t>
  </si>
  <si>
    <t>Infra-Annual Labor Statistics: Unemployment Rate Total: From 15 to 64 Years for Italy</t>
  </si>
  <si>
    <t>LRUN74FEITQ156N</t>
  </si>
  <si>
    <t>Infra-Annual Labor Statistics: Unemployment Rate Female: From 15 to 74 Years for Italy</t>
  </si>
  <si>
    <t>LRUN74MAITQ156N</t>
  </si>
  <si>
    <t>Infra-Annual Labor Statistics: Unemployment Rate Male: From 15 to 74 Years for Italy</t>
  </si>
  <si>
    <t>LRUN74TTITQ156N</t>
  </si>
  <si>
    <t>Infra-Annual Labor Statistics: Unemployment Rate Total: From 15 to 74 Years for Italy</t>
  </si>
  <si>
    <t>LRUNTTFEITQ156N</t>
  </si>
  <si>
    <t>Infra-Annual Labor Statistics: Unemployment Rate Female: 15 Years or over for Italy</t>
  </si>
  <si>
    <t>LRUNTTMAITQ156N</t>
  </si>
  <si>
    <t>Infra-Annual Labor Statistics: Unemployment Rate Male: 15 Years or over for Italy</t>
  </si>
  <si>
    <t>LRUNTTTTITQ156N</t>
  </si>
  <si>
    <t>Infra-Annual Labor Statistics: Unemployment Rate Total: 15 Years or over for Italy</t>
  </si>
  <si>
    <t>LRUPTTFEITQ156N</t>
  </si>
  <si>
    <t>Unemployment to Population Rate: All Ages: Females for Italy</t>
  </si>
  <si>
    <t>LRUPTTMAITQ156N</t>
  </si>
  <si>
    <t>Unemployment to Population Rate: All Ages: Males for Italy</t>
  </si>
  <si>
    <t>LRUPTTTTITQ156N</t>
  </si>
  <si>
    <t>Unemployment to Population Rate: All Ages: All Persons for Italy</t>
  </si>
  <si>
    <t>EUROSTAT</t>
  </si>
  <si>
    <t>00XALCITM086NEST</t>
  </si>
  <si>
    <t>INDEX</t>
  </si>
  <si>
    <t>CPI</t>
  </si>
  <si>
    <t>Harmonized Index of Consumer Prices: Overall Index Excluding Alcohol and Tobacco for Italy</t>
  </si>
  <si>
    <t>00XAP0ITM086NEST</t>
  </si>
  <si>
    <t>Harmonized Index of Consumer Prices: All Items Excluding Mainly Administered Prices for Italy</t>
  </si>
  <si>
    <t>00XAPFITM086NEST</t>
  </si>
  <si>
    <t>Harmonized Index of Consumer Prices: All Items Excluding Fully Administered Prices for Italy</t>
  </si>
  <si>
    <t>00XAPMITM086NEST</t>
  </si>
  <si>
    <t>00XE00ITM086NEST</t>
  </si>
  <si>
    <t>Harmonized Index of Consumer Prices: Overall Index Excluding Energy for Italy</t>
  </si>
  <si>
    <t>00XEDUITM086NEST</t>
  </si>
  <si>
    <t>Harmonized Index of Consumer Prices: Overall Index Excluding Education, Health, and Social Protection for Italy</t>
  </si>
  <si>
    <t>00XEFDITM086NEST</t>
  </si>
  <si>
    <t>Harmonized Index of Consumer Prices: Overall Index Excluding Energy, Food, Alcohol, and Tobacco for Italy</t>
  </si>
  <si>
    <t>00XESEITM086NEST</t>
  </si>
  <si>
    <t>Harmonized Index of Consumer Prices: Overall Index Excluding Energy and Seasonal Food for Italy</t>
  </si>
  <si>
    <t>00XFROITM086NEST</t>
  </si>
  <si>
    <t>Harmonized Index of Consumer Prices: Overall Index Excluding Frequent Out-of-Pocket Purchases for Italy</t>
  </si>
  <si>
    <t>00XFUEITM086NEST</t>
  </si>
  <si>
    <t>Harmonized Index of Consumer Prices: Overall Index Excluding Liquid Fuels and Lubricants for Personal Transport Equipment for Italy</t>
  </si>
  <si>
    <t>00XFUNITM086NEST</t>
  </si>
  <si>
    <t>Harmonized Index of Consumer Prices: Overall Index Excluding Energy and Unprocessed Food for Italy</t>
  </si>
  <si>
    <t>00XHOUITM086NEST</t>
  </si>
  <si>
    <t>Harmonized Index of Consumer Prices: Overall Index Excluding Housing, Water, Electricity, Gas, and Other Fuels for Italy</t>
  </si>
  <si>
    <t>00XSEAITM086NEST</t>
  </si>
  <si>
    <t>Harmonized Index of Consumer Prices: Overall Index Excluding Seasonal Food for Italy</t>
  </si>
  <si>
    <t>00XTOBITM086NEST</t>
  </si>
  <si>
    <t>Harmonized Index of Consumer Prices: Overall Index Excluding Tobacco for Italy</t>
  </si>
  <si>
    <t>AP0000ITM086NEST</t>
  </si>
  <si>
    <t>Harmonized Index of Consumer Prices: Administered Prices for Italy</t>
  </si>
  <si>
    <t>APFULLITM086NEST</t>
  </si>
  <si>
    <t>Harmonized Index of Consumer Prices: Fully Administered Prices for Italy</t>
  </si>
  <si>
    <t>APMAINITM086NEST</t>
  </si>
  <si>
    <t>Harmonized Index of Consumer Prices: Mainly Administered Prices for Italy</t>
  </si>
  <si>
    <t>CP0000ITM086NEST</t>
  </si>
  <si>
    <t>Harmonized Index of Consumer Prices: All-Items HICP for Italy</t>
  </si>
  <si>
    <t>CP0100ITM086NEST</t>
  </si>
  <si>
    <t>Harmonized Index of Consumer Prices: Food and Non-Alcoholic Beverages for Italy</t>
  </si>
  <si>
    <t>CP0110ITM086NEST</t>
  </si>
  <si>
    <t>Harmonized Index of Consumer Prices: Food for Italy</t>
  </si>
  <si>
    <t>CP0111ITM086NEST</t>
  </si>
  <si>
    <t>Harmonized Index of Consumer Prices: Bread and Cereals for Italy</t>
  </si>
  <si>
    <t>CP0112ITM086NEST</t>
  </si>
  <si>
    <t>Harmonized Index of Consumer Prices: Meat for Italy</t>
  </si>
  <si>
    <t>CP0113ITM086NEST</t>
  </si>
  <si>
    <t>Harmonized Index of Consumer Prices: Fish and Seafood for Italy</t>
  </si>
  <si>
    <t>CP0114ITM086NEST</t>
  </si>
  <si>
    <t>Harmonized Index of Consumer Prices: Milk, Cheese and Eggs for Italy</t>
  </si>
  <si>
    <t>CP0115ITM086NEST</t>
  </si>
  <si>
    <t>Harmonized Index of Consumer Prices: Oils and Fats for Italy</t>
  </si>
  <si>
    <t>CP0116ITM086NEST</t>
  </si>
  <si>
    <t>Harmonized Index of Consumer Prices: Fruit for Italy</t>
  </si>
  <si>
    <t>CP0117ITM086NEST</t>
  </si>
  <si>
    <t>Harmonized Index of Consumer Prices: Vegetables for Italy</t>
  </si>
  <si>
    <t>CP0118ITM086NEST</t>
  </si>
  <si>
    <t>Harmonized Index of Consumer Prices: Sugar, Jam, Honey, Chocolate and Confectionery for Italy</t>
  </si>
  <si>
    <t>CP0119ITM086NEST</t>
  </si>
  <si>
    <t>Harmonized Index of Consumer Prices: Food Products N.e.c. for Italy</t>
  </si>
  <si>
    <t>CP0120ITM086NEST</t>
  </si>
  <si>
    <t>Harmonized Index of Consumer Prices: Non-Alcoholic Beverages for Italy</t>
  </si>
  <si>
    <t>CP0121ITM086NEST</t>
  </si>
  <si>
    <t>Harmonized Index of Consumer Prices: Coffee, Tea and Cocoa for Italy</t>
  </si>
  <si>
    <t>CP0122ITM086NEST</t>
  </si>
  <si>
    <t>Harmonized Index of Consumer Prices: Mineral Waters, Soft Drinks, Fruit and Vegetable Juices for Italy</t>
  </si>
  <si>
    <t>CP0200ITM086NEST</t>
  </si>
  <si>
    <t>Harmonized Index of Consumer Prices: Alcoholic Beverages, Tobacco and Narcotics for Italy</t>
  </si>
  <si>
    <t>CP0210ITM086NEST</t>
  </si>
  <si>
    <t>Harmonized Index of Consumer Prices: Alcoholic Beverages for Italy</t>
  </si>
  <si>
    <t>CP0211ITM086NEST</t>
  </si>
  <si>
    <t>Harmonized Index of Consumer Prices: Spirits for Italy</t>
  </si>
  <si>
    <t>CP0212ITM086NEST</t>
  </si>
  <si>
    <t>Harmonized Index of Consumer Prices: Wine for Italy</t>
  </si>
  <si>
    <t>CP0213ITM086NEST</t>
  </si>
  <si>
    <t>Harmonized Index of Consumer Prices: Beer for Italy</t>
  </si>
  <si>
    <t>CP0220ITM086NEST</t>
  </si>
  <si>
    <t>Harmonized Index of Consumer Prices: Tobacco for Italy</t>
  </si>
  <si>
    <t>CP0300ITM086NEST</t>
  </si>
  <si>
    <t>Harmonized Index of Consumer Prices: Clothing and Footwear for Italy</t>
  </si>
  <si>
    <t>CP0310ITM086NEST</t>
  </si>
  <si>
    <t>Harmonized Index of Consumer Prices: Clothing for Italy</t>
  </si>
  <si>
    <t>CP0311ITM086NEST</t>
  </si>
  <si>
    <t>Harmonized Index of Consumer Prices: Clothing Materials for Italy</t>
  </si>
  <si>
    <t>CP0312ITM086NEST</t>
  </si>
  <si>
    <t>Harmonized Index of Consumer Prices: Garments for Italy</t>
  </si>
  <si>
    <t>CP0313ITM086NEST</t>
  </si>
  <si>
    <t>Harmonized Index of Consumer Prices: Other Articles of Clothing and Clothing Accessories for Italy</t>
  </si>
  <si>
    <t>CP0314ITM086NEST</t>
  </si>
  <si>
    <t>Harmonized Index of Consumer Prices: Cleaning, Repair and Hire of Clothing for Italy</t>
  </si>
  <si>
    <t>CP0320ITM086NEST</t>
  </si>
  <si>
    <t>Harmonized Index of Consumer Prices: Footwear for Italy</t>
  </si>
  <si>
    <t>CP0400ITM086NEST</t>
  </si>
  <si>
    <t>Harmonized Index of Consumer Prices: Housing, Water, Electricity, Gas and Other Fuels for Italy</t>
  </si>
  <si>
    <t>CP0410ITM086NEST</t>
  </si>
  <si>
    <t>Harmonized Index of Consumer Prices: Actual Rentals for Housing for Italy</t>
  </si>
  <si>
    <t>CP0430ITM086NEST</t>
  </si>
  <si>
    <t>Harmonized Index of Consumer Prices: Maintenance and Repair of the Dwelling for Italy</t>
  </si>
  <si>
    <t>CP0431ITM086NEST</t>
  </si>
  <si>
    <t>Harmonized Index of Consumer Prices: Materials for the Maintenance and Repair of the Dwelling for Italy</t>
  </si>
  <si>
    <t>CP0432ITM086NEST</t>
  </si>
  <si>
    <t>Harmonized Index of Consumer Prices: Services for the Maintenance and Repair of the Dwelling for Italy</t>
  </si>
  <si>
    <t>CP0440ITM086NEST</t>
  </si>
  <si>
    <t>Harmonized Index of Consumer Prices: Water Supply and Miscellaneous Services Relating to the Dwelling for Italy</t>
  </si>
  <si>
    <t>CP0441ITM086NEST</t>
  </si>
  <si>
    <t>Harmonized Index of Consumer Prices: Water Supply for Italy</t>
  </si>
  <si>
    <t>CP0442ITM086NEST</t>
  </si>
  <si>
    <t>Harmonized Index of Consumer Prices: Refuse Collection for Italy</t>
  </si>
  <si>
    <t>CP0443ITM086NEST</t>
  </si>
  <si>
    <t>Harmonized Index of Consumer Prices: Sewerage Collection for Italy</t>
  </si>
  <si>
    <t>CP0444ITM086NEST</t>
  </si>
  <si>
    <t>Harmonized Index of Consumer Prices: Other Services Relating to the Dwelling N.e.c. for Italy</t>
  </si>
  <si>
    <t>CP0450ITM086NEST</t>
  </si>
  <si>
    <t>Harmonized Index of Consumer Prices: Electricity, Gas and Other Fuels for Italy</t>
  </si>
  <si>
    <t>CP0451ITM086NEST</t>
  </si>
  <si>
    <t>Harmonized Index of Consumer Prices: Electricity for Italy</t>
  </si>
  <si>
    <t>CP0452ITM086NEST</t>
  </si>
  <si>
    <t>Harmonized Index of Consumer Prices: Gas for Italy</t>
  </si>
  <si>
    <t>CP0453ITM086NEST</t>
  </si>
  <si>
    <t>Harmonized Index of Consumer Prices: Liquid Fuels for Italy</t>
  </si>
  <si>
    <t>CP0454ITM086NEST</t>
  </si>
  <si>
    <t>Harmonized Index of Consumer Prices: Solid Fuels for Italy</t>
  </si>
  <si>
    <t>CP0500ITM086NEST</t>
  </si>
  <si>
    <t>Harmonized Index of Consumer Prices: Furnishings, Household Equipment and Routine Household Maintenance for Italy</t>
  </si>
  <si>
    <t>CP0510ITM086NEST</t>
  </si>
  <si>
    <t>Harmonized Index of Consumer Prices: Furniture and Furnishings, Carpets and Other Floor Coverings for Italy</t>
  </si>
  <si>
    <t>CP0511ITM086NEST</t>
  </si>
  <si>
    <t>Harmonized Index of Consumer Prices: Furniture and Furnishings for Italy</t>
  </si>
  <si>
    <t>CP0512ITM086NEST</t>
  </si>
  <si>
    <t>Harmonized Index of Consumer Prices: Carpets and Other Floor Coverings for Italy</t>
  </si>
  <si>
    <t>CP0513ITM086NEST</t>
  </si>
  <si>
    <t>Harmonized Index of Consumer Prices: Repair of Furniture, Furnishings and Floor Coverings for Italy</t>
  </si>
  <si>
    <t>CP0520ITM086NEST</t>
  </si>
  <si>
    <t>Harmonized Index of Consumer Prices: Household Textiles for Italy</t>
  </si>
  <si>
    <t>CP0530ITM086NEST</t>
  </si>
  <si>
    <t>Harmonized Index of Consumer Prices: Household Appliances for Italy</t>
  </si>
  <si>
    <t>CP0531ITM086NEST</t>
  </si>
  <si>
    <t>Harmonized Index of Consumer Prices: Major Household Appliances Whether Electric or Not and Small Electric Household Appliances for Italy</t>
  </si>
  <si>
    <t>CP0533ITM086NEST</t>
  </si>
  <si>
    <t>Harmonized Index of Consumer Prices: Repair of Household Appliances for Italy</t>
  </si>
  <si>
    <t>CP0540ITM086NEST</t>
  </si>
  <si>
    <t>Harmonized Index of Consumer Prices: Glassware, Tableware and Household Utensils for Italy</t>
  </si>
  <si>
    <t>CP0550ITM086NEST</t>
  </si>
  <si>
    <t>Harmonized Index of Consumer Prices: Tools and Equipment for House and Garden for Italy</t>
  </si>
  <si>
    <t>CP0560ITM086NEST</t>
  </si>
  <si>
    <t>Harmonized Index of Consumer Prices: Goods and Services for Routine Household Maintenance for Italy</t>
  </si>
  <si>
    <t>CP0561ITM086NEST</t>
  </si>
  <si>
    <t>Harmonized Index of Consumer Prices: Non-Durable Household Goods for Italy</t>
  </si>
  <si>
    <t>CP0562ITM086NEST</t>
  </si>
  <si>
    <t>Harmonized Index of Consumer Prices: Domestic Services and Household Services for Italy</t>
  </si>
  <si>
    <t>CP0600ITM086NEST</t>
  </si>
  <si>
    <t>Harmonized Index of Consumer Prices: Health for Italy</t>
  </si>
  <si>
    <t>CP0610ITM086NEST</t>
  </si>
  <si>
    <t>Harmonized Index of Consumer Prices: Medical Products, Appliances and Equipment for Italy</t>
  </si>
  <si>
    <t>CP0611ITM086NEST</t>
  </si>
  <si>
    <t>Harmonized Index of Consumer Prices: Pharmaceutical Products for Italy</t>
  </si>
  <si>
    <t>CP0612ITM086NEST</t>
  </si>
  <si>
    <t>Harmonized Index of Consumer Prices: Other Medical Products, Therapeutic Appliances and Equipment for Italy</t>
  </si>
  <si>
    <t>CP0620ITM086NEST</t>
  </si>
  <si>
    <t>Harmonized Index of Consumer Prices: Out-Patient Services for Italy</t>
  </si>
  <si>
    <t>CP0621ITM086NEST</t>
  </si>
  <si>
    <t>Harmonized Index of Consumer Prices: Medical Services; Paramedical Services for Italy</t>
  </si>
  <si>
    <t>CP0622ITM086NEST</t>
  </si>
  <si>
    <t>Harmonized Index of Consumer Prices: Dental Services for Italy</t>
  </si>
  <si>
    <t>CP0630ITM086NEST</t>
  </si>
  <si>
    <t>Harmonized Index of Consumer Prices: Hospital Services for Italy</t>
  </si>
  <si>
    <t>CP0700ITM086NEST</t>
  </si>
  <si>
    <t>Harmonized Index of Consumer Prices: Transport for Italy</t>
  </si>
  <si>
    <t>CP0710ITM086NEST</t>
  </si>
  <si>
    <t>Harmonized Index of Consumer Prices: Purchase of Vehicles for Italy</t>
  </si>
  <si>
    <t>CP0711ITM086NEST</t>
  </si>
  <si>
    <t>Harmonized Index of Consumer Prices: Motor Cars for Italy</t>
  </si>
  <si>
    <t>CP0712ITM086NEST</t>
  </si>
  <si>
    <t>Harmonized Index of Consumer Prices: Motor Cycles, Bicycles, and Animal Drawn Vehicles for Italy</t>
  </si>
  <si>
    <t>CP0720ITM086NEST</t>
  </si>
  <si>
    <t>Harmonized Index of Consumer Prices: Operation of Personal Transport Equipment for Italy</t>
  </si>
  <si>
    <t>CP0721ITM086NEST</t>
  </si>
  <si>
    <t>Harmonized Index of Consumer Prices: Spares Parts and Accessories for Personal Transport Equipment for Italy</t>
  </si>
  <si>
    <t>CP0722ITM086NEST</t>
  </si>
  <si>
    <t>Harmonized Index of Consumer Prices: Fuels and Lubricants for Personal Transport Equipment for Italy</t>
  </si>
  <si>
    <t>CP0723ITM086NEST</t>
  </si>
  <si>
    <t>Harmonized Index of Consumer Prices: Maintenance and Repair of Personal Transport Equipment for Italy</t>
  </si>
  <si>
    <t>CP0724ITM086NEST</t>
  </si>
  <si>
    <t>Harmonized Index of Consumer Prices: Other Services in Respect of Personal Transport Equipment for Italy</t>
  </si>
  <si>
    <t>CP0730ITM086NEST</t>
  </si>
  <si>
    <t>Harmonized Index of Consumer Prices: Transport Services for Italy</t>
  </si>
  <si>
    <t>CP0731ITM086NEST</t>
  </si>
  <si>
    <t>Harmonized Index of Consumer Prices: Passenger Transport by Railway for Italy</t>
  </si>
  <si>
    <t>CP0732ITM086NEST</t>
  </si>
  <si>
    <t>Harmonized Index of Consumer Prices: Passenger Transport by Road for Italy</t>
  </si>
  <si>
    <t>CP0733ITM086NEST</t>
  </si>
  <si>
    <t>Harmonized Index of Consumer Prices: Passenger Transport by Air for Italy</t>
  </si>
  <si>
    <t>CP0734ITM086NEST</t>
  </si>
  <si>
    <t>Harmonized Index of Consumer Prices: Passenger Transport by Sea and Inland Waterway for Italy</t>
  </si>
  <si>
    <t>CP0735ITM086NEST</t>
  </si>
  <si>
    <t>Harmonized Index of Consumer Prices: Combined Passenger Transport for Italy</t>
  </si>
  <si>
    <t>CP0736ITM086NEST</t>
  </si>
  <si>
    <t>Harmonized Index of Consumer Prices: Other Purchased Transport Services for Italy</t>
  </si>
  <si>
    <t>CP0800ITM086NEST</t>
  </si>
  <si>
    <t>Harmonized Index of Consumer Prices: Communications for Italy</t>
  </si>
  <si>
    <t>CP0810ITM086NEST</t>
  </si>
  <si>
    <t>Harmonized Index of Consumer Prices: Postal Services for Italy</t>
  </si>
  <si>
    <t>CP0820ITM086NEST</t>
  </si>
  <si>
    <t>Harmonized Index of Consumer Prices: Telephone and Telefax Equipment for Italy</t>
  </si>
  <si>
    <t>CP0830ITM086NEST</t>
  </si>
  <si>
    <t>Harmonized Index of Consumer Prices: Telephone and Telefax Services for Italy</t>
  </si>
  <si>
    <t>CP0900ITM086NEST</t>
  </si>
  <si>
    <t>Harmonized Index of Consumer Prices: Recreation and Culture for Italy</t>
  </si>
  <si>
    <t>CP0910ITM086NEST</t>
  </si>
  <si>
    <t>Harmonized Index of Consumer Prices: Audio-Visual, Photographic and Information Processing Equipment for Italy</t>
  </si>
  <si>
    <t>CP0911ITM086NEST</t>
  </si>
  <si>
    <t>Harmonized Index of Consumer Prices: Equipment for the Reception, Recording and Reproduction of Sound and Picture for Italy</t>
  </si>
  <si>
    <t>CP0912ITM086NEST</t>
  </si>
  <si>
    <t>Harmonized Index of Consumer Prices: Photographic and Cinematographic Equipment and Optical Instruments for Italy</t>
  </si>
  <si>
    <t>CP0913ITM086NEST</t>
  </si>
  <si>
    <t>Harmonized Index of Consumer Prices: Information Processing Equipment for Italy</t>
  </si>
  <si>
    <t>CP0914ITM086NEST</t>
  </si>
  <si>
    <t>Harmonized Index of Consumer Prices: Recording Media for Italy</t>
  </si>
  <si>
    <t>CP0915ITM086NEST</t>
  </si>
  <si>
    <t>Harmonized Index of Consumer Prices: Repair of Audio-Visual, Photographic and Information Processing Equipment for Italy</t>
  </si>
  <si>
    <t>CP0920ITM086NEST</t>
  </si>
  <si>
    <t>Harmonized Index of Consumer Prices: Other Major Durables for Recreation and Culture for Italy</t>
  </si>
  <si>
    <t>CP0921ITM086NEST</t>
  </si>
  <si>
    <t>Harmonized Index of Consumer Prices: Major Durables for Indoor and Outdoor Recreation Including Musical Instruments for Italy</t>
  </si>
  <si>
    <t>CP0930ITM086NEST</t>
  </si>
  <si>
    <t>Harmonized Index of Consumer Prices: Other Recreational Items and Equipment, Gardens and Pets for Italy</t>
  </si>
  <si>
    <t>CP0931ITM086NEST</t>
  </si>
  <si>
    <t>Harmonized Index of Consumer Prices: Games, Toys and Hobbies for Italy</t>
  </si>
  <si>
    <t>CP0932ITM086NEST</t>
  </si>
  <si>
    <t>Harmonized Index of Consumer Prices: Equipment for Sport, Camping and Open-Air Recreation for Italy</t>
  </si>
  <si>
    <t>CP0933ITM086NEST</t>
  </si>
  <si>
    <t>Harmonized Index of Consumer Prices: Gardens, Plants and Flowers for Italy</t>
  </si>
  <si>
    <t>CP0934ITM086NEST</t>
  </si>
  <si>
    <t>Harmonized Index of Consumer Prices: Pets and Related Products; Veterinary and Other Services for Pets for Italy</t>
  </si>
  <si>
    <t>CP0940ITM086NEST</t>
  </si>
  <si>
    <t>Harmonized Index of Consumer Prices: Recreational and Cultural Services for Italy</t>
  </si>
  <si>
    <t>CP0941ITM086NEST</t>
  </si>
  <si>
    <t>Harmonized Index of Consumer Prices: Recreational and Sporting Services for Italy</t>
  </si>
  <si>
    <t>CP0942ITM086NEST</t>
  </si>
  <si>
    <t>Harmonized Index of Consumer Prices: Cultural Services for Italy</t>
  </si>
  <si>
    <t>CP0950ITM086NEST</t>
  </si>
  <si>
    <t>Harmonized Index of Consumer Prices: Newspapers, Books and Stationery for Italy</t>
  </si>
  <si>
    <t>CP0951ITM086NEST</t>
  </si>
  <si>
    <t>Harmonized Index of Consumer Prices: Books for Italy</t>
  </si>
  <si>
    <t>CP0952ITM086NEST</t>
  </si>
  <si>
    <t>Harmonized Index of Consumer Prices: Newspapers and Periodicals for Italy</t>
  </si>
  <si>
    <t>CP0953ITM086NEST</t>
  </si>
  <si>
    <t>Harmonized Index of Consumer Prices: Miscellaneous Printed Matter, Stationery, and Drawing Materials for Italy</t>
  </si>
  <si>
    <t>CP0960ITM086NEST</t>
  </si>
  <si>
    <t>Harmonized Index of Consumer Prices: Package Holidays for Italy</t>
  </si>
  <si>
    <t>CP1000ITM086NEST</t>
  </si>
  <si>
    <t>Harmonized Index of Consumer Prices: Education for Italy</t>
  </si>
  <si>
    <t>CP1100ITM086NEST</t>
  </si>
  <si>
    <t>Harmonized Index of Consumer Prices: Restaurants and Hotels for Italy</t>
  </si>
  <si>
    <t>CP1110ITM086NEST</t>
  </si>
  <si>
    <t>Harmonized Index of Consumer Prices: Catering Services for Italy</t>
  </si>
  <si>
    <t>CP1111ITM086NEST</t>
  </si>
  <si>
    <t>Harmonized Index of Consumer Prices: Restaurants, Cafes and the Like for Italy</t>
  </si>
  <si>
    <t>CP1112ITM086NEST</t>
  </si>
  <si>
    <t>Harmonized Index of Consumer Prices: Canteens for Italy</t>
  </si>
  <si>
    <t>CP1120ITM086NEST</t>
  </si>
  <si>
    <t>Harmonized Index of Consumer Prices: Accommodation Services for Italy</t>
  </si>
  <si>
    <t>CP1200ITM086NEST</t>
  </si>
  <si>
    <t>Harmonized Index of Consumer Prices: Miscellaneous Goods and Services for Italy</t>
  </si>
  <si>
    <t>CP1210ITM086NEST</t>
  </si>
  <si>
    <t>Harmonized Index of Consumer Prices: Personal Care for Italy</t>
  </si>
  <si>
    <t>CP1211ITM086NEST</t>
  </si>
  <si>
    <t>Harmonized Index of Consumer Prices: Hairdressing Salons and Personal Grooming Establishments for Italy</t>
  </si>
  <si>
    <t>CP1212ITM086NEST</t>
  </si>
  <si>
    <t>Harmonized Index of Consumer Prices: Electrical Appliances for Personal Care; Other Appliances, Articles and Products for Personal Care for Italy</t>
  </si>
  <si>
    <t>CP1230ITM086NEST</t>
  </si>
  <si>
    <t>Harmonized Index of Consumer Prices: Personal Effects N.e.c. for Italy</t>
  </si>
  <si>
    <t>CP1231ITM086NEST</t>
  </si>
  <si>
    <t>Harmonized Index of Consumer Prices: Jewellery, Clocks and Watches for Italy</t>
  </si>
  <si>
    <t>CP1232ITM086NEST</t>
  </si>
  <si>
    <t>Harmonized Index of Consumer Prices: Other Personal Effects for Italy</t>
  </si>
  <si>
    <t>CP1240ITM086NEST</t>
  </si>
  <si>
    <t>Harmonized Index of Consumer Prices: Social Protection for Italy</t>
  </si>
  <si>
    <t>CP1250ITM086NEST</t>
  </si>
  <si>
    <t>Harmonized Index of Consumer Prices: Insurance for Italy</t>
  </si>
  <si>
    <t>CP1252ITM086NEST</t>
  </si>
  <si>
    <t>Harmonized Index of Consumer Prices: Insurance Connected with the Dwelling for Italy</t>
  </si>
  <si>
    <t>CP1253ITM086NEST</t>
  </si>
  <si>
    <t>Harmonized Index of Consumer Prices: Insurance Connected with Health for Italy</t>
  </si>
  <si>
    <t>CP1254ITM086NEST</t>
  </si>
  <si>
    <t>Harmonized Index of Consumer Prices: Insurance Connected with Transport for Italy</t>
  </si>
  <si>
    <t>CP1260ITM086NEST</t>
  </si>
  <si>
    <t>Harmonized Index of Consumer Prices: Financial Services N.e.c. for Italy</t>
  </si>
  <si>
    <t>CP1270ITM086NEST</t>
  </si>
  <si>
    <t>Harmonized Index of Consumer Prices: Other Services N.e.c. for Italy</t>
  </si>
  <si>
    <t>CP8283ITM086NEST</t>
  </si>
  <si>
    <t>Harmonized Index of Consumer Prices: Telephone and Telefax Equipment and Services for Italy</t>
  </si>
  <si>
    <t>EDUHEAITM086NEST</t>
  </si>
  <si>
    <t>Harmonized Index of Consumer Prices: Education, Health, and Social Protection for Italy</t>
  </si>
  <si>
    <t>EFOODUITM086NEST</t>
  </si>
  <si>
    <t>Harmonized Index of Consumer Prices: Energy and Unprocessed Food for Italy</t>
  </si>
  <si>
    <t>ELGAS0ITM086NEST</t>
  </si>
  <si>
    <t>Harmonized Index of Consumer Prices: Electricity, Gas, Solid Fuels and Heat Energy for Italy</t>
  </si>
  <si>
    <t>ENRGY0ITM086NEST</t>
  </si>
  <si>
    <t>Harmonized Index of Consumer Prices: Energy for Italy</t>
  </si>
  <si>
    <t>ENRGYSITM086NEST</t>
  </si>
  <si>
    <t>Harmonized Index of Consumer Prices: Energy and Seasonal Food for Italy</t>
  </si>
  <si>
    <t>FOOD00ITM086NEST</t>
  </si>
  <si>
    <t>Harmonized Index of Consumer Prices: Food Including Alcohol and Tobacco for Italy</t>
  </si>
  <si>
    <t>FOODPRITM086NEST</t>
  </si>
  <si>
    <t>Harmonized Index of Consumer Prices: Processed Food Including Alcohol and Tobacco for Italy</t>
  </si>
  <si>
    <t>FOODUNITM086NEST</t>
  </si>
  <si>
    <t>Harmonized Index of Consumer Prices: Unprocessed Food for Italy</t>
  </si>
  <si>
    <t>FROOPPITM086NEST</t>
  </si>
  <si>
    <t>Harmonized Index of Consumer Prices: Frequent Out-of-Pocket Purchases for Italy</t>
  </si>
  <si>
    <t>FUELS0ITM086NEST</t>
  </si>
  <si>
    <t>Harmonized Index of Consumer Prices: Liquid Fuels and Fuels and Lubricants for Italy</t>
  </si>
  <si>
    <t>GOODS0ITM086NEST</t>
  </si>
  <si>
    <t>Harmonized Index of Consumer Prices: Goods (Overall Index Excluding Services) for Italy</t>
  </si>
  <si>
    <t>IGDSXEITM086NEST</t>
  </si>
  <si>
    <t>Harmonized Index of Consumer Prices: Non-Energy Industrial Goods for Italy</t>
  </si>
  <si>
    <t>IGDXEDITM086NEST</t>
  </si>
  <si>
    <t>Harmonized Index of Consumer Prices: Non-Energy Industrial Goods, Durables Only for Italy</t>
  </si>
  <si>
    <t>IGDXENITM086NEST</t>
  </si>
  <si>
    <t>Harmonized Index of Consumer Prices: Non-Energy Industrial Goods, Non-Durables Only for Italy</t>
  </si>
  <si>
    <t>IGDXESITM086NEST</t>
  </si>
  <si>
    <t>Harmonized Index of Consumer Prices: Non-Energy Industrial Goods, Semi-Durables Only for Italy</t>
  </si>
  <si>
    <t>IGOODSITM086NEST</t>
  </si>
  <si>
    <t>Harmonized Index of Consumer Prices: Industrial Goods for Italy</t>
  </si>
  <si>
    <t>INTGSBITM193N</t>
  </si>
  <si>
    <t>Interest Rates, Government Securities, Government Bonds for Italy</t>
  </si>
  <si>
    <t>INTGSTITM193N</t>
  </si>
  <si>
    <t>Interest Rates, Government Securities, Treasury Bills for Italy</t>
  </si>
  <si>
    <t>SEAS00ITM086NEST</t>
  </si>
  <si>
    <t>Harmonized Index of Consumer Prices: Seasonal Food for Italy</t>
  </si>
  <si>
    <t>SERV00ITM086NEST</t>
  </si>
  <si>
    <t>Harmonized Index of Consumer Prices: Services (Overall Index Excluding Goods) for Italy</t>
  </si>
  <si>
    <t>SERVCOITM086NEST</t>
  </si>
  <si>
    <t>Harmonized Index of Consumer Prices: Services Related to Communication for Italy</t>
  </si>
  <si>
    <t>SERVHOITM086NEST</t>
  </si>
  <si>
    <t>Harmonized Index of Consumer Prices: Services Related to Housing for Italy</t>
  </si>
  <si>
    <t>SERVMIITM086NEST</t>
  </si>
  <si>
    <t>Harmonized Index of Consumer Prices: Services, Miscellaneous for Italy</t>
  </si>
  <si>
    <t>SERVRPITM086NEST</t>
  </si>
  <si>
    <t>Harmonized Index of Consumer Prices: Services Related to Recreation, Including Repairs and Personal Care for Italy</t>
  </si>
  <si>
    <t>SERVTRITM086NEST</t>
  </si>
  <si>
    <t>Harmonized Index of Consumer Prices: Services Related to Transport for Italy</t>
  </si>
  <si>
    <t>SRVRPOITM086NEST</t>
  </si>
  <si>
    <t>Harmonized Index of Consumer Prices: Services Related to Recreation and Personal Care, Excluding Package Holidays and Accommodation for Italy</t>
  </si>
  <si>
    <t>SRVRPPITM086NEST</t>
  </si>
  <si>
    <t>Harmonized Index of Consumer Prices: Services Related to Package Holidays and Accommodation for Italy</t>
  </si>
  <si>
    <t>NGDPNSAXDCITQ</t>
  </si>
  <si>
    <t>MILION DOMESTIC CURRENCY</t>
  </si>
  <si>
    <t>NCPNSAXDCITQ</t>
  </si>
  <si>
    <t>NINSAXDCITQ</t>
  </si>
  <si>
    <t>NINVNSAXDCITQ</t>
  </si>
  <si>
    <t>NCGGNSAXDCITQ</t>
  </si>
  <si>
    <t>NXNSAXDCITQ</t>
  </si>
  <si>
    <t>NMNSAXDCITQ</t>
  </si>
  <si>
    <t>NFINSAXDCITQ</t>
  </si>
  <si>
    <t>NGDPRNSAXDCITQ</t>
  </si>
  <si>
    <t>NCPRNSAXDCITQ</t>
  </si>
  <si>
    <t>NIRNSAXDCITQ</t>
  </si>
  <si>
    <t>NINVRNSAXDCITQ</t>
  </si>
  <si>
    <t>NCGGRNSAXDCITQ</t>
  </si>
  <si>
    <t>NXRNSAXDCITQ</t>
  </si>
  <si>
    <t>NMRNSAXDCITQ</t>
  </si>
  <si>
    <t>NFIRNSAXDCITQ</t>
  </si>
  <si>
    <t>BIS</t>
  </si>
  <si>
    <t>QITN628BIS</t>
  </si>
  <si>
    <t>Index</t>
  </si>
  <si>
    <t>Residential Property Prices for Italy</t>
  </si>
  <si>
    <t>QITR628BIS</t>
  </si>
  <si>
    <t>Real Residential Property Prices for Italy</t>
  </si>
  <si>
    <t>CRDQITAHABIS</t>
  </si>
  <si>
    <t>EURO MLD</t>
  </si>
  <si>
    <t>MACROECONOMIC</t>
  </si>
  <si>
    <t>Total Credit to Households and Non-Profit Institutions Serving Households, Adjusted for Breaks, for Italy</t>
  </si>
  <si>
    <t>CRDQITAHUBIS</t>
  </si>
  <si>
    <t>Total Credit to Households and Non-Profit Institutions Serving Households, Unadjusted for Breaks, for Italy</t>
  </si>
  <si>
    <t>CRDQITANABIS</t>
  </si>
  <si>
    <t>Total Credit to Non-Financial Corporations, Adjusted for Breaks, for Italy</t>
  </si>
  <si>
    <t>CRDQITAPABIS</t>
  </si>
  <si>
    <t>Total Credit to Private Non-Financial Sector, Adjusted for Breaks, for Italy</t>
  </si>
  <si>
    <t>CRDQITAPUBIS</t>
  </si>
  <si>
    <t>Total Credit to Private Non-Financial Sector, Unadjusted for Breaks, for Italy</t>
  </si>
  <si>
    <t>CRDQITBPABIS</t>
  </si>
  <si>
    <t>Credit to Private Non-Financial Sector by Domestic Banks, Adjusted for Breaks, for Italy</t>
  </si>
  <si>
    <t>CRDQITBPUBIS</t>
  </si>
  <si>
    <t>Credit to Private Non-Financial Sector by Domestic Banks, Unadjusted for Breaks, for Italy</t>
  </si>
  <si>
    <t>QITCAM770A</t>
  </si>
  <si>
    <t>Percentage of GDP</t>
  </si>
  <si>
    <t>Total Credit to Non-Financial Sector, Adjusted for Breaks, for Italy</t>
  </si>
  <si>
    <t>QITGAM770A</t>
  </si>
  <si>
    <t>Total Credit to General Government, Adjusted for Breaks, for Italy</t>
  </si>
  <si>
    <t>QITHAM770A</t>
  </si>
  <si>
    <t>Total Credit to Households and NPISHs, Adjusted for Breaks, for Italy</t>
  </si>
  <si>
    <t>QITNAM770A</t>
  </si>
  <si>
    <t>QITPAM770A</t>
  </si>
  <si>
    <t>QITPBM770A</t>
  </si>
  <si>
    <t>Credit to Private Non-Financial Sector by Banks, Adjusted for Breaks, for Italy</t>
  </si>
  <si>
    <t>NBITBIS</t>
  </si>
  <si>
    <t>index</t>
  </si>
  <si>
    <t>Broad Effective Exchange Rate for Italy</t>
  </si>
  <si>
    <t>NNITBIS</t>
  </si>
  <si>
    <t>Narrow Effective Exchange Rate for Italy</t>
  </si>
  <si>
    <t>RBITBIS</t>
  </si>
  <si>
    <t>Real Broad Effective Exchange Rate for Italy</t>
  </si>
  <si>
    <t>RNITBIS</t>
  </si>
  <si>
    <t>Real Narrow Effective Exchange Rate for Italy</t>
  </si>
  <si>
    <t>Q</t>
  </si>
  <si>
    <t>I15_Q</t>
  </si>
  <si>
    <t xml:space="preserve">Total Purchase of House </t>
  </si>
  <si>
    <t>TOTAL</t>
  </si>
  <si>
    <t>c[purchase]</t>
  </si>
  <si>
    <t>prc_hpi_q</t>
  </si>
  <si>
    <t>House price index (2015 = 100) - quarterly data</t>
  </si>
  <si>
    <t>Purchases of newly built dwellings</t>
  </si>
  <si>
    <t>DW_NEW</t>
  </si>
  <si>
    <t>Purchases of existing dwellings</t>
  </si>
  <si>
    <t>DW_EXST</t>
  </si>
  <si>
    <t>M</t>
  </si>
  <si>
    <t>I15</t>
  </si>
  <si>
    <t>Overall index excluding tobacco</t>
  </si>
  <si>
    <t>TOT_X_TBC</t>
  </si>
  <si>
    <t>prc_hicp_midx</t>
  </si>
  <si>
    <t>HICP - monthly data</t>
  </si>
  <si>
    <t>Overall index excluding energy and seasonal food</t>
  </si>
  <si>
    <t>TOT_X_NRG_FOOD_S</t>
  </si>
  <si>
    <t>Overall index excluding energy and unprocessed food</t>
  </si>
  <si>
    <t>TOT_X_NRG_FOOD_NP</t>
  </si>
  <si>
    <t>Overall index excluding energy, food, alcohol and tobacco</t>
  </si>
  <si>
    <t>TOT_X_NRG_FOOD</t>
  </si>
  <si>
    <t>Overall index excluding energy</t>
  </si>
  <si>
    <t>TOT_X_NRG</t>
  </si>
  <si>
    <t>Overall index excluding housing, water, electricity, gas and other fuels</t>
  </si>
  <si>
    <t>TOT_X_HOUS</t>
  </si>
  <si>
    <t>Overall index excluding liquid fuels and lubricants for personal transport equipment</t>
  </si>
  <si>
    <t>TOT_X_FUEL</t>
  </si>
  <si>
    <t>Overall index excluding frequent out-of-pocket purchases</t>
  </si>
  <si>
    <t>TOT_X_FROOPP</t>
  </si>
  <si>
    <t>Overall index excluding seasonal food</t>
  </si>
  <si>
    <t>TOT_X_FOOD_S</t>
  </si>
  <si>
    <t>Overall index excluding education, health and social protection</t>
  </si>
  <si>
    <t>TOT_X_EDUC_HLTH_SPR</t>
  </si>
  <si>
    <t>Overall index excluding mainly administered prices</t>
  </si>
  <si>
    <t>TOT_X_APM</t>
  </si>
  <si>
    <t>Overall index excluding fully administered prices</t>
  </si>
  <si>
    <t>TOT_X_APF</t>
  </si>
  <si>
    <t>Overall index excluding administered prices</t>
  </si>
  <si>
    <t>TOT_X_AP</t>
  </si>
  <si>
    <t>Overall index excluding alcohol and tobacco</t>
  </si>
  <si>
    <t>TOT_X_ALC_TBC</t>
  </si>
  <si>
    <t>Services related to transport</t>
  </si>
  <si>
    <t>SERV_TRA</t>
  </si>
  <si>
    <t>Services related to recreation and personal care, excluding package holidays and accommodation</t>
  </si>
  <si>
    <t>SERV_REC_X_HOA</t>
  </si>
  <si>
    <t>Services related to package holidays and accommodation</t>
  </si>
  <si>
    <t>SERV_REC_HOA</t>
  </si>
  <si>
    <t>Services related to recreation, including repairs and personal care</t>
  </si>
  <si>
    <t>SERV_REC</t>
  </si>
  <si>
    <t>Services - miscellaneous</t>
  </si>
  <si>
    <t>SERV_MSC</t>
  </si>
  <si>
    <t>Services related to housing</t>
  </si>
  <si>
    <t>SERV_HOUS</t>
  </si>
  <si>
    <t>Services related to communication</t>
  </si>
  <si>
    <t>SERV_COM</t>
  </si>
  <si>
    <t>Services (overall index excluding goods)</t>
  </si>
  <si>
    <t>SERV</t>
  </si>
  <si>
    <t>Energy and seasonal food</t>
  </si>
  <si>
    <t>NRG_FOOD_S</t>
  </si>
  <si>
    <t>Energy and unprocessed food</t>
  </si>
  <si>
    <t>NRG_FOOD_NP</t>
  </si>
  <si>
    <t>Energy</t>
  </si>
  <si>
    <t>NRG</t>
  </si>
  <si>
    <t>Non-energy industrial goods, semi-durables only</t>
  </si>
  <si>
    <t>IGD_NNRG_SD</t>
  </si>
  <si>
    <t>Non-energy industrial goods, non-durables only</t>
  </si>
  <si>
    <t>IGD_NNRG_ND</t>
  </si>
  <si>
    <t>Non-energy industrial goods, durables only</t>
  </si>
  <si>
    <t>IGD_NNRG_D</t>
  </si>
  <si>
    <t>Non-energy industrial goods</t>
  </si>
  <si>
    <t>IGD_NNRG</t>
  </si>
  <si>
    <t>Industrial goods</t>
  </si>
  <si>
    <t>IGD</t>
  </si>
  <si>
    <t>Goods (overall index excluding services)</t>
  </si>
  <si>
    <t>GD</t>
  </si>
  <si>
    <t>Liquid fuels and fuels and lubricants for personal transport equipment</t>
  </si>
  <si>
    <t>FUEL</t>
  </si>
  <si>
    <t>Frequent out-of-pocket purchases</t>
  </si>
  <si>
    <t>FROOPP</t>
  </si>
  <si>
    <t>Seasonal food</t>
  </si>
  <si>
    <t>FOOD_S</t>
  </si>
  <si>
    <t>Processed food excluding alcohol and tobacco</t>
  </si>
  <si>
    <t>FOOD_P_X_ALC_TBC</t>
  </si>
  <si>
    <t>Processed food including alcohol and tobacco</t>
  </si>
  <si>
    <t>FOOD_P</t>
  </si>
  <si>
    <t>Unprocessed food</t>
  </si>
  <si>
    <t>FOOD_NP</t>
  </si>
  <si>
    <t>Food including alcohol and tobacco</t>
  </si>
  <si>
    <t>FOOD</t>
  </si>
  <si>
    <t>Electricity, gas, solid fuels and heat energy</t>
  </si>
  <si>
    <t>ELC_GAS</t>
  </si>
  <si>
    <t>Education, health and social protection</t>
  </si>
  <si>
    <t>EDUC_HLTH_SPR</t>
  </si>
  <si>
    <t>Other fees and services</t>
  </si>
  <si>
    <t>CP12704</t>
  </si>
  <si>
    <t>Funeral services</t>
  </si>
  <si>
    <t>CP12703</t>
  </si>
  <si>
    <t>Legal services and accountancy</t>
  </si>
  <si>
    <t>CP12702</t>
  </si>
  <si>
    <t>Administrative fees</t>
  </si>
  <si>
    <t>CP12701</t>
  </si>
  <si>
    <t>Other services n.e.c.</t>
  </si>
  <si>
    <t>CP127</t>
  </si>
  <si>
    <t>Fees and service charges of brokers, investment counsellors</t>
  </si>
  <si>
    <t>CP12622</t>
  </si>
  <si>
    <t>Charges by banks and post offices</t>
  </si>
  <si>
    <t>CP12621</t>
  </si>
  <si>
    <t>Financial services n.e.c.</t>
  </si>
  <si>
    <t>CP126</t>
  </si>
  <si>
    <t>Other insurance</t>
  </si>
  <si>
    <t>CP1255</t>
  </si>
  <si>
    <t>Travel insurance</t>
  </si>
  <si>
    <t>CP12542</t>
  </si>
  <si>
    <t>Motor vehicle insurance</t>
  </si>
  <si>
    <t>CP12541</t>
  </si>
  <si>
    <t>Insurance connected with transport</t>
  </si>
  <si>
    <t>CP1254</t>
  </si>
  <si>
    <t>Private insurance connected with health</t>
  </si>
  <si>
    <t>CP12532</t>
  </si>
  <si>
    <t>Insurance connected with health</t>
  </si>
  <si>
    <t>CP1253</t>
  </si>
  <si>
    <t>Insurance connected with the dwelling</t>
  </si>
  <si>
    <t>CP1252</t>
  </si>
  <si>
    <t>Insurance</t>
  </si>
  <si>
    <t>CP125</t>
  </si>
  <si>
    <t>Counselling</t>
  </si>
  <si>
    <t>CP12404</t>
  </si>
  <si>
    <t>Services to maintain people in their private homes</t>
  </si>
  <si>
    <t>CP12403</t>
  </si>
  <si>
    <t>Retirement homes for elderly persons and residences for disabled persons</t>
  </si>
  <si>
    <t>CP12402</t>
  </si>
  <si>
    <t>Child care services</t>
  </si>
  <si>
    <t>CP12401</t>
  </si>
  <si>
    <t>Social protection</t>
  </si>
  <si>
    <t>CP124</t>
  </si>
  <si>
    <t>Other personal effects n.e.c.</t>
  </si>
  <si>
    <t>CP12329</t>
  </si>
  <si>
    <t>Repair of other personal effects</t>
  </si>
  <si>
    <t>CP12323</t>
  </si>
  <si>
    <t>Articles for babies</t>
  </si>
  <si>
    <t>CP12322</t>
  </si>
  <si>
    <t>Travel goods</t>
  </si>
  <si>
    <t>CP12321</t>
  </si>
  <si>
    <t>Other personal effects</t>
  </si>
  <si>
    <t>CP1232</t>
  </si>
  <si>
    <t>Repair of jewellery, clocks and watches</t>
  </si>
  <si>
    <t>CP12313</t>
  </si>
  <si>
    <t>Clocks and watches</t>
  </si>
  <si>
    <t>CP12312</t>
  </si>
  <si>
    <t>Jewellery</t>
  </si>
  <si>
    <t>CP12311</t>
  </si>
  <si>
    <t>Jewellery, clocks and watches</t>
  </si>
  <si>
    <t>CP1231</t>
  </si>
  <si>
    <t>Personal effects n.e.c.</t>
  </si>
  <si>
    <t>CP123</t>
  </si>
  <si>
    <t>Articles for personal hygiene and wellness, esoteric products and beauty products</t>
  </si>
  <si>
    <t>CP12132</t>
  </si>
  <si>
    <t>Non-electrical appliances</t>
  </si>
  <si>
    <t>CP12131</t>
  </si>
  <si>
    <t>Other appliances, articles and products for personal care</t>
  </si>
  <si>
    <t>CP1213</t>
  </si>
  <si>
    <t>Repair of electric appliances for personal care</t>
  </si>
  <si>
    <t>CP12122</t>
  </si>
  <si>
    <t>Electric appliances for personal care</t>
  </si>
  <si>
    <t>CP12121</t>
  </si>
  <si>
    <t>Electrical appliances for personal care; other appliances, articles and products for personal care</t>
  </si>
  <si>
    <t>CP1212_1213</t>
  </si>
  <si>
    <t>Electrical appliances for personal care</t>
  </si>
  <si>
    <t>CP1212</t>
  </si>
  <si>
    <t>Personal grooming treatments</t>
  </si>
  <si>
    <t>CP12113</t>
  </si>
  <si>
    <t>Hairdressing for women</t>
  </si>
  <si>
    <t>CP12112</t>
  </si>
  <si>
    <t>Hairdressing for men and children</t>
  </si>
  <si>
    <t>CP12111</t>
  </si>
  <si>
    <t>Hairdressing salons and personal grooming establishments</t>
  </si>
  <si>
    <t>CP1211</t>
  </si>
  <si>
    <t>Personal care</t>
  </si>
  <si>
    <t>CP121</t>
  </si>
  <si>
    <t>Miscellaneous goods and services</t>
  </si>
  <si>
    <t>CP12</t>
  </si>
  <si>
    <t>Accommodation services of other establishments</t>
  </si>
  <si>
    <t>CP11203</t>
  </si>
  <si>
    <t>Holiday centres, camping sites, youth hostels and similar accommodation services</t>
  </si>
  <si>
    <t>CP11202</t>
  </si>
  <si>
    <t>Hotels, motels, inns and similar accommodation services</t>
  </si>
  <si>
    <t>CP11201</t>
  </si>
  <si>
    <t>Accommodation services</t>
  </si>
  <si>
    <t>CP112</t>
  </si>
  <si>
    <t>Canteens</t>
  </si>
  <si>
    <t>CP1112</t>
  </si>
  <si>
    <t>Fast food and take away food services</t>
  </si>
  <si>
    <t>CP11112</t>
  </si>
  <si>
    <t>Restaurants, cafés and dancing establishments</t>
  </si>
  <si>
    <t>CP11111</t>
  </si>
  <si>
    <t>Restaurants, cafés and the like</t>
  </si>
  <si>
    <t>CP1111</t>
  </si>
  <si>
    <t>Catering services</t>
  </si>
  <si>
    <t>CP111</t>
  </si>
  <si>
    <t>Restaurants and hotels</t>
  </si>
  <si>
    <t>CP11</t>
  </si>
  <si>
    <t>Education not definable by level</t>
  </si>
  <si>
    <t>CP105</t>
  </si>
  <si>
    <t>Tertiary education</t>
  </si>
  <si>
    <t>CP104</t>
  </si>
  <si>
    <t>Post-secondary non-tertiary education</t>
  </si>
  <si>
    <t>CP103</t>
  </si>
  <si>
    <t>Secondary education</t>
  </si>
  <si>
    <t>CP102</t>
  </si>
  <si>
    <t>Primary education</t>
  </si>
  <si>
    <t>CP10102</t>
  </si>
  <si>
    <t>Pre-primary education</t>
  </si>
  <si>
    <t>CP10101</t>
  </si>
  <si>
    <t>Pre-primary and primary education</t>
  </si>
  <si>
    <t>CP101</t>
  </si>
  <si>
    <t>Education</t>
  </si>
  <si>
    <t>CP10</t>
  </si>
  <si>
    <t>Package international holidays</t>
  </si>
  <si>
    <t>CP09602</t>
  </si>
  <si>
    <t>Package domestic holidays</t>
  </si>
  <si>
    <t>CP09601</t>
  </si>
  <si>
    <t>Package holidays</t>
  </si>
  <si>
    <t>CP096</t>
  </si>
  <si>
    <t>Other stationery and drawing materials</t>
  </si>
  <si>
    <t>CP09549</t>
  </si>
  <si>
    <t>Paper products</t>
  </si>
  <si>
    <t>CP09541</t>
  </si>
  <si>
    <t>Stationery and drawing materials</t>
  </si>
  <si>
    <t>CP0954</t>
  </si>
  <si>
    <t>Miscellaneous printed matter; stationery and drawing materials</t>
  </si>
  <si>
    <t>CP0953_0954</t>
  </si>
  <si>
    <t>Miscellaneous printed matter</t>
  </si>
  <si>
    <t>CP0953</t>
  </si>
  <si>
    <t>Magazines and periodicals</t>
  </si>
  <si>
    <t>CP09522</t>
  </si>
  <si>
    <t>Newspapers</t>
  </si>
  <si>
    <t>CP09521</t>
  </si>
  <si>
    <t>Newspapers and periodicals</t>
  </si>
  <si>
    <t>CP0952</t>
  </si>
  <si>
    <t>Binding services and E-book downloads</t>
  </si>
  <si>
    <t>CP09514</t>
  </si>
  <si>
    <t>Other non-fiction books</t>
  </si>
  <si>
    <t>CP09513</t>
  </si>
  <si>
    <t>Educational text books</t>
  </si>
  <si>
    <t>CP09512</t>
  </si>
  <si>
    <t>Fiction books</t>
  </si>
  <si>
    <t>CP09511</t>
  </si>
  <si>
    <t>Books</t>
  </si>
  <si>
    <t>CP0951</t>
  </si>
  <si>
    <t>Newspapers, books and stationery</t>
  </si>
  <si>
    <t>CP095</t>
  </si>
  <si>
    <t>Other cultural services</t>
  </si>
  <si>
    <t>CP09429</t>
  </si>
  <si>
    <t>Photographic services</t>
  </si>
  <si>
    <t>CP09425</t>
  </si>
  <si>
    <t>Hire of equipment and accessories for culture</t>
  </si>
  <si>
    <t>CP09424</t>
  </si>
  <si>
    <t>Television and radio licence fees, subscriptions</t>
  </si>
  <si>
    <t>CP09423</t>
  </si>
  <si>
    <t>Museums, libraries, zoological gardens</t>
  </si>
  <si>
    <t>CP09422</t>
  </si>
  <si>
    <t>Cinemas, theatres, concerts</t>
  </si>
  <si>
    <t>CP09421</t>
  </si>
  <si>
    <t>Cultural services</t>
  </si>
  <si>
    <t>CP0942</t>
  </si>
  <si>
    <t>Recreational and sporting services - participation</t>
  </si>
  <si>
    <t>CP09412</t>
  </si>
  <si>
    <t>Recreational and sporting services - attendance</t>
  </si>
  <si>
    <t>CP09411</t>
  </si>
  <si>
    <t>Recreational and sporting services</t>
  </si>
  <si>
    <t>CP0941</t>
  </si>
  <si>
    <t>Recreational and cultural services</t>
  </si>
  <si>
    <t>CP094</t>
  </si>
  <si>
    <t>Veterinary and other services for pets</t>
  </si>
  <si>
    <t>CP0935</t>
  </si>
  <si>
    <t>Products for pets</t>
  </si>
  <si>
    <t>CP09342</t>
  </si>
  <si>
    <t>Purchase of pets</t>
  </si>
  <si>
    <t>CP09341</t>
  </si>
  <si>
    <t>Pets and related products; veterinary and other services for pets</t>
  </si>
  <si>
    <t>CP0934_0935</t>
  </si>
  <si>
    <t>Pets and related products</t>
  </si>
  <si>
    <t>CP0934</t>
  </si>
  <si>
    <t>Plants and flowers</t>
  </si>
  <si>
    <t>CP09332</t>
  </si>
  <si>
    <t>Garden products</t>
  </si>
  <si>
    <t>CP09331</t>
  </si>
  <si>
    <t>Gardens, plants and flowers</t>
  </si>
  <si>
    <t>CP0933</t>
  </si>
  <si>
    <t>Repair of equipment for sport, camping and open-air recreation</t>
  </si>
  <si>
    <t>CP09323</t>
  </si>
  <si>
    <t>Equipment for camping and open-air recreation</t>
  </si>
  <si>
    <t>CP09322</t>
  </si>
  <si>
    <t>Equipment for sport</t>
  </si>
  <si>
    <t>CP09321</t>
  </si>
  <si>
    <t>Equipment for sport, camping and open-air recreation</t>
  </si>
  <si>
    <t>CP0932</t>
  </si>
  <si>
    <t>Toys and celebration articles</t>
  </si>
  <si>
    <t>CP09312</t>
  </si>
  <si>
    <t>Games and hobbies</t>
  </si>
  <si>
    <t>CP09311</t>
  </si>
  <si>
    <t>Games, toys and hobbies</t>
  </si>
  <si>
    <t>CP0931</t>
  </si>
  <si>
    <t>Other recreational items and equipment, gardens and pets</t>
  </si>
  <si>
    <t>CP093</t>
  </si>
  <si>
    <t>Maintenance and repair of other major durables for recreation and culture</t>
  </si>
  <si>
    <t>CP0923</t>
  </si>
  <si>
    <t>Major durables for indoor recreation</t>
  </si>
  <si>
    <t>CP09222</t>
  </si>
  <si>
    <t>Musical instruments</t>
  </si>
  <si>
    <t>CP09221</t>
  </si>
  <si>
    <t>Musical instruments and major durables for indoor recreation</t>
  </si>
  <si>
    <t>CP0922</t>
  </si>
  <si>
    <t>Major items for games and sport</t>
  </si>
  <si>
    <t>CP09215</t>
  </si>
  <si>
    <t>Horses, ponies and accessories</t>
  </si>
  <si>
    <t>CP09214</t>
  </si>
  <si>
    <t>Boats, outboard motors and fitting out of boats</t>
  </si>
  <si>
    <t>CP09213</t>
  </si>
  <si>
    <t>Aeroplanes, microlight aircraft, gliders, hang-gliders and hot-air balloons</t>
  </si>
  <si>
    <t>CP09212</t>
  </si>
  <si>
    <t>Camper vans, caravans and trailers</t>
  </si>
  <si>
    <t>CP09211</t>
  </si>
  <si>
    <t>Major durables for indoor and outdoor recreation including musical instruments</t>
  </si>
  <si>
    <t>CP0921_0922</t>
  </si>
  <si>
    <t>Major durables for outdoor recreation</t>
  </si>
  <si>
    <t>CP0921</t>
  </si>
  <si>
    <t>Other major durables for recreation and culture</t>
  </si>
  <si>
    <t>CP092</t>
  </si>
  <si>
    <t>Repair of audio-visual, photographic and information processing equipment</t>
  </si>
  <si>
    <t>CP0915</t>
  </si>
  <si>
    <t>Other recording media</t>
  </si>
  <si>
    <t>CP09149</t>
  </si>
  <si>
    <t>Unrecorded recording media</t>
  </si>
  <si>
    <t>CP09142</t>
  </si>
  <si>
    <t>Pre-recorded recording media</t>
  </si>
  <si>
    <t>CP09141</t>
  </si>
  <si>
    <t>Recording media</t>
  </si>
  <si>
    <t>CP0914</t>
  </si>
  <si>
    <t>Calculators and other information processing equipment</t>
  </si>
  <si>
    <t>CP09134</t>
  </si>
  <si>
    <t>Software</t>
  </si>
  <si>
    <t>CP09133</t>
  </si>
  <si>
    <t>Accessories for information processing equipment</t>
  </si>
  <si>
    <t>CP09132</t>
  </si>
  <si>
    <t>Personal computers</t>
  </si>
  <si>
    <t>CP09131</t>
  </si>
  <si>
    <t>Information processing equipment</t>
  </si>
  <si>
    <t>CP0913</t>
  </si>
  <si>
    <t>Optical instruments</t>
  </si>
  <si>
    <t>CP09123</t>
  </si>
  <si>
    <t>Accessories for photographic and cinematographic equipment</t>
  </si>
  <si>
    <t>CP09122</t>
  </si>
  <si>
    <t>Cameras</t>
  </si>
  <si>
    <t>CP09121</t>
  </si>
  <si>
    <t>Photographic and cinematographic equipment and optical instruments</t>
  </si>
  <si>
    <t>CP0912</t>
  </si>
  <si>
    <t>Other equipment for the reception, recording and reproduction of sound and picture</t>
  </si>
  <si>
    <t>CP09119</t>
  </si>
  <si>
    <t>Portable sound and vision devices</t>
  </si>
  <si>
    <t>CP09113</t>
  </si>
  <si>
    <t>Equipment for the reception, recording and reproduction of sound and vision</t>
  </si>
  <si>
    <t>CP09112</t>
  </si>
  <si>
    <t>Equipment for the reception, recording and reproduction of sound</t>
  </si>
  <si>
    <t>CP09111</t>
  </si>
  <si>
    <t>Equipment for the reception, recording and reproduction of sound and picture</t>
  </si>
  <si>
    <t>CP0911</t>
  </si>
  <si>
    <t>Audio-visual, photographic and information processing equipment</t>
  </si>
  <si>
    <t>CP091</t>
  </si>
  <si>
    <t>Recreation and culture</t>
  </si>
  <si>
    <t>CP09</t>
  </si>
  <si>
    <t>Other information transmission services</t>
  </si>
  <si>
    <t>CP08305</t>
  </si>
  <si>
    <t>Bundled telecommunication services</t>
  </si>
  <si>
    <t>CP08304</t>
  </si>
  <si>
    <t>Internet access provision services</t>
  </si>
  <si>
    <t>CP08303</t>
  </si>
  <si>
    <t>Wireless telephone services</t>
  </si>
  <si>
    <t>CP08302</t>
  </si>
  <si>
    <t>Wired telephone services</t>
  </si>
  <si>
    <t>CP08301</t>
  </si>
  <si>
    <t>Telephone and telefax services</t>
  </si>
  <si>
    <t>CP0830</t>
  </si>
  <si>
    <t>Repair of telephone or telefax equipment</t>
  </si>
  <si>
    <t>CP08204</t>
  </si>
  <si>
    <t>Other equipment of telephone and telefax equipment</t>
  </si>
  <si>
    <t>CP08203</t>
  </si>
  <si>
    <t>Mobile telephone equipment</t>
  </si>
  <si>
    <t>CP08202</t>
  </si>
  <si>
    <t>Fixed telephone equipment</t>
  </si>
  <si>
    <t>CP08201</t>
  </si>
  <si>
    <t>Telephone and telefax equipment</t>
  </si>
  <si>
    <t>CP0820</t>
  </si>
  <si>
    <t>Telephone and telefax equipment and services</t>
  </si>
  <si>
    <t>CP082_083</t>
  </si>
  <si>
    <t>Other postal services</t>
  </si>
  <si>
    <t>CP08109</t>
  </si>
  <si>
    <t>Letter handling services</t>
  </si>
  <si>
    <t>CP08101</t>
  </si>
  <si>
    <t>Postal services</t>
  </si>
  <si>
    <t>CP081</t>
  </si>
  <si>
    <t>Communications</t>
  </si>
  <si>
    <t>CP08</t>
  </si>
  <si>
    <t>Other purchased transport services n.e.c.</t>
  </si>
  <si>
    <t>CP07369</t>
  </si>
  <si>
    <t>Removal and storage services</t>
  </si>
  <si>
    <t>CP07362</t>
  </si>
  <si>
    <t>Funicular, cable-car and chair-lift transport</t>
  </si>
  <si>
    <t>CP07361</t>
  </si>
  <si>
    <t>Other purchased transport services</t>
  </si>
  <si>
    <t>CP0736</t>
  </si>
  <si>
    <t>Combined passenger transport</t>
  </si>
  <si>
    <t>CP0735</t>
  </si>
  <si>
    <t>Passenger transport by inland waterway</t>
  </si>
  <si>
    <t>CP07342</t>
  </si>
  <si>
    <t>Passenger transport by sea</t>
  </si>
  <si>
    <t>CP07341</t>
  </si>
  <si>
    <t>Passenger transport by sea and inland waterway</t>
  </si>
  <si>
    <t>CP0734</t>
  </si>
  <si>
    <t>International flights</t>
  </si>
  <si>
    <t>CP07332</t>
  </si>
  <si>
    <t>Domestic flights</t>
  </si>
  <si>
    <t>CP07331</t>
  </si>
  <si>
    <t>Passenger transport by air</t>
  </si>
  <si>
    <t>CP0733</t>
  </si>
  <si>
    <t>Passenger transport by taxi and hired car with driver</t>
  </si>
  <si>
    <t>CP07322</t>
  </si>
  <si>
    <t>Passenger transport by bus and coach</t>
  </si>
  <si>
    <t>CP07321</t>
  </si>
  <si>
    <t>Passenger transport by road</t>
  </si>
  <si>
    <t>CP0732</t>
  </si>
  <si>
    <t>Passenger transport by underground and tram</t>
  </si>
  <si>
    <t>CP07312</t>
  </si>
  <si>
    <t>Passenger transport by train</t>
  </si>
  <si>
    <t>CP07311</t>
  </si>
  <si>
    <t>Passenger transport by railway</t>
  </si>
  <si>
    <t>CP0731</t>
  </si>
  <si>
    <t>Transport services</t>
  </si>
  <si>
    <t>CP073</t>
  </si>
  <si>
    <t>Driving lessons, tests, licences and road worthiness tests</t>
  </si>
  <si>
    <t>CP07243</t>
  </si>
  <si>
    <t>Toll facilities and parking meters</t>
  </si>
  <si>
    <t>CP07242</t>
  </si>
  <si>
    <t>Hire of garages, parking spaces and personal transport equipment</t>
  </si>
  <si>
    <t>CP07241</t>
  </si>
  <si>
    <t>Other services in respect of personal transport equipment</t>
  </si>
  <si>
    <t>CP0724</t>
  </si>
  <si>
    <t>Maintenance and repair of personal transport equipment</t>
  </si>
  <si>
    <t>CP0723</t>
  </si>
  <si>
    <t>Lubricants</t>
  </si>
  <si>
    <t>CP07224</t>
  </si>
  <si>
    <t>Other fuels for personal transport equipment</t>
  </si>
  <si>
    <t>CP07223</t>
  </si>
  <si>
    <t>Petrol</t>
  </si>
  <si>
    <t>CP07222</t>
  </si>
  <si>
    <t>Diesel</t>
  </si>
  <si>
    <t>CP07221</t>
  </si>
  <si>
    <t>Fuels and lubricants for personal transport equipment</t>
  </si>
  <si>
    <t>CP0722</t>
  </si>
  <si>
    <t>Accessories for personal transport equipment</t>
  </si>
  <si>
    <t>CP07213</t>
  </si>
  <si>
    <t>Spare parts for personal transport equipment</t>
  </si>
  <si>
    <t>CP07212</t>
  </si>
  <si>
    <t>Tyres</t>
  </si>
  <si>
    <t>CP07211</t>
  </si>
  <si>
    <t>Spare parts and accessories for personal transport equipment</t>
  </si>
  <si>
    <t>CP0721</t>
  </si>
  <si>
    <t>Operation of personal transport equipment</t>
  </si>
  <si>
    <t>CP072</t>
  </si>
  <si>
    <t>Animal drawn vehicles</t>
  </si>
  <si>
    <t>CP0714</t>
  </si>
  <si>
    <t>Bicycles</t>
  </si>
  <si>
    <t>CP0713</t>
  </si>
  <si>
    <t>Motor cycles, bicycles and animal drawn vehicles</t>
  </si>
  <si>
    <t>CP0712-0714</t>
  </si>
  <si>
    <t>Motor cycles</t>
  </si>
  <si>
    <t>CP0712</t>
  </si>
  <si>
    <t>Second-hand motor cars</t>
  </si>
  <si>
    <t>CP07112</t>
  </si>
  <si>
    <t>New motor cars</t>
  </si>
  <si>
    <t>CP07111</t>
  </si>
  <si>
    <t>Motor cars</t>
  </si>
  <si>
    <t>CP0711</t>
  </si>
  <si>
    <t>Purchase of vehicles</t>
  </si>
  <si>
    <t>CP071</t>
  </si>
  <si>
    <t>Transport</t>
  </si>
  <si>
    <t>CP07</t>
  </si>
  <si>
    <t>Hospital services</t>
  </si>
  <si>
    <t>CP063</t>
  </si>
  <si>
    <t>Other paramedical services</t>
  </si>
  <si>
    <t>CP06239</t>
  </si>
  <si>
    <t>Thermal-baths, corrective-gymnastic therapy, ambulance and hire of therapeutic equipment</t>
  </si>
  <si>
    <t>CP06232</t>
  </si>
  <si>
    <t>Services of medical analysis laboratories and X-ray centres</t>
  </si>
  <si>
    <t>CP06231</t>
  </si>
  <si>
    <t>Paramedical services</t>
  </si>
  <si>
    <t>CP0623</t>
  </si>
  <si>
    <t>Dental services</t>
  </si>
  <si>
    <t>CP0622</t>
  </si>
  <si>
    <t>Specialist practice</t>
  </si>
  <si>
    <t>CP06212</t>
  </si>
  <si>
    <t>General practice</t>
  </si>
  <si>
    <t>CP06211</t>
  </si>
  <si>
    <t>Medical services and paramedical services</t>
  </si>
  <si>
    <t>CP0621_0623</t>
  </si>
  <si>
    <t>Medical services</t>
  </si>
  <si>
    <t>CP0621</t>
  </si>
  <si>
    <t>Out-patient services</t>
  </si>
  <si>
    <t>CP062</t>
  </si>
  <si>
    <t>Other therapeutic appliances and equipment</t>
  </si>
  <si>
    <t>CP06139</t>
  </si>
  <si>
    <t>Repair of therapeutic appliances and equipment</t>
  </si>
  <si>
    <t>CP06133</t>
  </si>
  <si>
    <t>Hearing aids</t>
  </si>
  <si>
    <t>CP06132</t>
  </si>
  <si>
    <t>Corrective eye-glasses and contact lenses</t>
  </si>
  <si>
    <t>CP06131</t>
  </si>
  <si>
    <t>Therapeutic appliances and equipment</t>
  </si>
  <si>
    <t>CP0613</t>
  </si>
  <si>
    <t>Other medical products n.e.c.</t>
  </si>
  <si>
    <t>CP06129</t>
  </si>
  <si>
    <t>Pregnancy tests and mechanical contraceptive devices</t>
  </si>
  <si>
    <t>CP06121</t>
  </si>
  <si>
    <t>Other medical products, therapeutic appliances and equipment</t>
  </si>
  <si>
    <t>CP0612_0613</t>
  </si>
  <si>
    <t>Other medical products</t>
  </si>
  <si>
    <t>CP0612</t>
  </si>
  <si>
    <t>Pharmaceutical products</t>
  </si>
  <si>
    <t>CP0611</t>
  </si>
  <si>
    <t>Medical products, appliances and equipment</t>
  </si>
  <si>
    <t>CP061</t>
  </si>
  <si>
    <t>Health</t>
  </si>
  <si>
    <t>CP06</t>
  </si>
  <si>
    <t>Other domestic services and household services</t>
  </si>
  <si>
    <t>CP05629</t>
  </si>
  <si>
    <t>Hire of furniture and furnishings</t>
  </si>
  <si>
    <t>CP05623</t>
  </si>
  <si>
    <t>Cleaning services</t>
  </si>
  <si>
    <t>CP05622</t>
  </si>
  <si>
    <t>Domestic services by paid staff</t>
  </si>
  <si>
    <t>CP05621</t>
  </si>
  <si>
    <t>Domestic services and household services</t>
  </si>
  <si>
    <t>CP0562</t>
  </si>
  <si>
    <t>Other non-durable small household articles</t>
  </si>
  <si>
    <t>CP05612</t>
  </si>
  <si>
    <t>Cleaning and maintenance products</t>
  </si>
  <si>
    <t>CP05611</t>
  </si>
  <si>
    <t>Non-durable household goods</t>
  </si>
  <si>
    <t>CP0561</t>
  </si>
  <si>
    <t>Goods and services for routine household maintenance</t>
  </si>
  <si>
    <t>CP056</t>
  </si>
  <si>
    <t>Repair of non-motorised small tools and miscellaneous accessories</t>
  </si>
  <si>
    <t>CP05523</t>
  </si>
  <si>
    <t>Miscellaneous small tool accessories</t>
  </si>
  <si>
    <t>CP05522</t>
  </si>
  <si>
    <t>Non-motorised small tools</t>
  </si>
  <si>
    <t>CP05521</t>
  </si>
  <si>
    <t>Small tools and miscellaneous accessories</t>
  </si>
  <si>
    <t>CP0552</t>
  </si>
  <si>
    <t>Repair, leasing and rental of major tools and equipment</t>
  </si>
  <si>
    <t>CP05512</t>
  </si>
  <si>
    <t>Motorized major tools and equipment</t>
  </si>
  <si>
    <t>CP05511</t>
  </si>
  <si>
    <t>Major tools and equipment</t>
  </si>
  <si>
    <t>CP0551</t>
  </si>
  <si>
    <t>Tools and equipment for house and garden</t>
  </si>
  <si>
    <t>CP055</t>
  </si>
  <si>
    <t>Repair of glassware, tableware and household utensils</t>
  </si>
  <si>
    <t>CP05404</t>
  </si>
  <si>
    <t>Non-electric kitchen utensils and articles</t>
  </si>
  <si>
    <t>CP05403</t>
  </si>
  <si>
    <t>Cutlery, flatware and silverware</t>
  </si>
  <si>
    <t>CP05402</t>
  </si>
  <si>
    <t>Glassware, crystal-ware, ceramic ware and chinaware</t>
  </si>
  <si>
    <t>CP05401</t>
  </si>
  <si>
    <t>Glassware, tableware and household utensils</t>
  </si>
  <si>
    <t>CP054</t>
  </si>
  <si>
    <t>Repair of household appliances</t>
  </si>
  <si>
    <t>CP0533</t>
  </si>
  <si>
    <t>Other small electric household appliances</t>
  </si>
  <si>
    <t>CP05329</t>
  </si>
  <si>
    <t>Toasters and grills</t>
  </si>
  <si>
    <t>CP05324</t>
  </si>
  <si>
    <t>Irons</t>
  </si>
  <si>
    <t>CP05323</t>
  </si>
  <si>
    <t>Coffee machines, tea-makers and similar appliances</t>
  </si>
  <si>
    <t>CP05322</t>
  </si>
  <si>
    <t>Food processing appliances</t>
  </si>
  <si>
    <t>CP05321</t>
  </si>
  <si>
    <t>Small electric household appliances</t>
  </si>
  <si>
    <t>CP0532</t>
  </si>
  <si>
    <t>Other major household appliances</t>
  </si>
  <si>
    <t>CP05319</t>
  </si>
  <si>
    <t>Cleaning equipment</t>
  </si>
  <si>
    <t>CP05315</t>
  </si>
  <si>
    <t>Heaters, air conditioners</t>
  </si>
  <si>
    <t>CP05314</t>
  </si>
  <si>
    <t>Cookers</t>
  </si>
  <si>
    <t>CP05313</t>
  </si>
  <si>
    <t>Clothes washing machines, clothes drying machines and dish washing machines</t>
  </si>
  <si>
    <t>CP05312</t>
  </si>
  <si>
    <t>Refrigerators, freezers and fridge-freezers</t>
  </si>
  <si>
    <t>CP05311</t>
  </si>
  <si>
    <t>Major household appliances whether electric or not and small electric household appliances</t>
  </si>
  <si>
    <t>CP0531_0532</t>
  </si>
  <si>
    <t>Major household appliances whether electric or not</t>
  </si>
  <si>
    <t>CP0531</t>
  </si>
  <si>
    <t>Household appliances</t>
  </si>
  <si>
    <t>CP053</t>
  </si>
  <si>
    <t>Other household textiles</t>
  </si>
  <si>
    <t>CP05209</t>
  </si>
  <si>
    <t>Repair of household textiles</t>
  </si>
  <si>
    <t>CP05204</t>
  </si>
  <si>
    <t>Table linen and bathroom linen</t>
  </si>
  <si>
    <t>CP05203</t>
  </si>
  <si>
    <t>Bed linen</t>
  </si>
  <si>
    <t>CP05202</t>
  </si>
  <si>
    <t>Furnishings fabrics and curtains</t>
  </si>
  <si>
    <t>CP05201</t>
  </si>
  <si>
    <t>Household textiles</t>
  </si>
  <si>
    <t>CP052</t>
  </si>
  <si>
    <t>Repair of furniture, furnishings and floor coverings</t>
  </si>
  <si>
    <t>CP0513</t>
  </si>
  <si>
    <t>Services of laying of fitted carpets and floor coverings</t>
  </si>
  <si>
    <t>CP05123</t>
  </si>
  <si>
    <t>Other floor coverings</t>
  </si>
  <si>
    <t>CP05122</t>
  </si>
  <si>
    <t>Carpet and rugs</t>
  </si>
  <si>
    <t>CP05121</t>
  </si>
  <si>
    <t>Carpets and other floor coverings</t>
  </si>
  <si>
    <t>CP0512</t>
  </si>
  <si>
    <t>Other furniture and furnishings</t>
  </si>
  <si>
    <t>CP05119</t>
  </si>
  <si>
    <t>Lighting equipment</t>
  </si>
  <si>
    <t>CP05113</t>
  </si>
  <si>
    <t>Garden furniture</t>
  </si>
  <si>
    <t>CP05112</t>
  </si>
  <si>
    <t>Household furniture</t>
  </si>
  <si>
    <t>CP05111</t>
  </si>
  <si>
    <t>Furniture and furnishings</t>
  </si>
  <si>
    <t>CP0511</t>
  </si>
  <si>
    <t>Furniture and furnishings, carpets and other floor coverings</t>
  </si>
  <si>
    <t>CP051</t>
  </si>
  <si>
    <t>Furnishings, household equipment and routine household maintenance</t>
  </si>
  <si>
    <t>CP05</t>
  </si>
  <si>
    <t>Heat energy</t>
  </si>
  <si>
    <t>CP0455</t>
  </si>
  <si>
    <t>Other solid fuels</t>
  </si>
  <si>
    <t>CP04549</t>
  </si>
  <si>
    <t>Coal</t>
  </si>
  <si>
    <t>CP04541</t>
  </si>
  <si>
    <t>Solid fuels</t>
  </si>
  <si>
    <t>CP0454</t>
  </si>
  <si>
    <t>Liquid fuels</t>
  </si>
  <si>
    <t>CP0453</t>
  </si>
  <si>
    <t>Liquefied hydrocarbons (butane, propane, etc.)</t>
  </si>
  <si>
    <t>CP04522</t>
  </si>
  <si>
    <t>Natural gas and town gas</t>
  </si>
  <si>
    <t>CP04521</t>
  </si>
  <si>
    <t>Gas</t>
  </si>
  <si>
    <t>CP0452</t>
  </si>
  <si>
    <t>Electricity</t>
  </si>
  <si>
    <t>CP0451</t>
  </si>
  <si>
    <t>Electricity, gas and other fuels</t>
  </si>
  <si>
    <t>CP045</t>
  </si>
  <si>
    <t>Other services related to dwelling</t>
  </si>
  <si>
    <t>CP04449</t>
  </si>
  <si>
    <t>Security services</t>
  </si>
  <si>
    <t>CP04442</t>
  </si>
  <si>
    <t>Maintenance charges in multi-occupied buildings</t>
  </si>
  <si>
    <t>CP04441</t>
  </si>
  <si>
    <t>Other services relating to the dwelling n.e.c.</t>
  </si>
  <si>
    <t>CP0444</t>
  </si>
  <si>
    <t>Sewerage collection</t>
  </si>
  <si>
    <t>CP0443</t>
  </si>
  <si>
    <t>Refuse collection</t>
  </si>
  <si>
    <t>CP0442</t>
  </si>
  <si>
    <t>Water supply</t>
  </si>
  <si>
    <t>CP0441</t>
  </si>
  <si>
    <t>Water supply and miscellaneous services relating to the dwelling</t>
  </si>
  <si>
    <t>CP044</t>
  </si>
  <si>
    <t>Other services for maintenance and repair of the dwelling</t>
  </si>
  <si>
    <t>CP04329</t>
  </si>
  <si>
    <t>Services of carpenters</t>
  </si>
  <si>
    <t>CP04325</t>
  </si>
  <si>
    <t>Services of painters</t>
  </si>
  <si>
    <t>CP04324</t>
  </si>
  <si>
    <t>Maintenance services for heating systems</t>
  </si>
  <si>
    <t>CP04323</t>
  </si>
  <si>
    <t>Services of electricians</t>
  </si>
  <si>
    <t>CP04322</t>
  </si>
  <si>
    <t>Services of plumbers</t>
  </si>
  <si>
    <t>CP04321</t>
  </si>
  <si>
    <t>Services for the maintenance and repair of the dwelling</t>
  </si>
  <si>
    <t>CP0432</t>
  </si>
  <si>
    <t>Materials for the maintenance and repair of the dwelling</t>
  </si>
  <si>
    <t>CP0431</t>
  </si>
  <si>
    <t>Maintenance and repair of the dwelling</t>
  </si>
  <si>
    <t>CP043</t>
  </si>
  <si>
    <t>Garage rentals and other rentals paid by tenants</t>
  </si>
  <si>
    <t>CP04122</t>
  </si>
  <si>
    <t>Actual rentals paid by tenants for secondary residences</t>
  </si>
  <si>
    <t>CP04121</t>
  </si>
  <si>
    <t>Other actual rentals</t>
  </si>
  <si>
    <t>CP0412</t>
  </si>
  <si>
    <t>Actual rentals paid by tenants</t>
  </si>
  <si>
    <t>CP0411</t>
  </si>
  <si>
    <t>Actual rentals for housing</t>
  </si>
  <si>
    <t>CP041</t>
  </si>
  <si>
    <t>Housing, water, electricity, gas and other fuels</t>
  </si>
  <si>
    <t>CP04</t>
  </si>
  <si>
    <t>Repair and hire of footwear</t>
  </si>
  <si>
    <t>CP0322</t>
  </si>
  <si>
    <t>Footwear for infants and children</t>
  </si>
  <si>
    <t>CP03213</t>
  </si>
  <si>
    <t>Footwear for women</t>
  </si>
  <si>
    <t>CP03212</t>
  </si>
  <si>
    <t>Footwear for men</t>
  </si>
  <si>
    <t>CP03211</t>
  </si>
  <si>
    <t>Shoes and other footwear</t>
  </si>
  <si>
    <t>CP0321</t>
  </si>
  <si>
    <t>Footwear</t>
  </si>
  <si>
    <t>CP032</t>
  </si>
  <si>
    <t>Repair and hire of clothing</t>
  </si>
  <si>
    <t>CP03142</t>
  </si>
  <si>
    <t>Cleaning of clothing</t>
  </si>
  <si>
    <t>CP03141</t>
  </si>
  <si>
    <t>Cleaning, repair and hire of clothing</t>
  </si>
  <si>
    <t>CP0314</t>
  </si>
  <si>
    <t>Clothing accessories</t>
  </si>
  <si>
    <t>CP03132</t>
  </si>
  <si>
    <t>Other articles of clothing</t>
  </si>
  <si>
    <t>CP03131</t>
  </si>
  <si>
    <t>Other articles of clothing and clothing accessories</t>
  </si>
  <si>
    <t>CP0313</t>
  </si>
  <si>
    <t>Garments for infants (0 to 2 years) and children (3 to 13 years)</t>
  </si>
  <si>
    <t>CP03123</t>
  </si>
  <si>
    <t>Garments for women</t>
  </si>
  <si>
    <t>CP03122</t>
  </si>
  <si>
    <t>Garments for men</t>
  </si>
  <si>
    <t>CP03121</t>
  </si>
  <si>
    <t>Garments</t>
  </si>
  <si>
    <t>CP0312</t>
  </si>
  <si>
    <t>Clothing materials</t>
  </si>
  <si>
    <t>CP0311</t>
  </si>
  <si>
    <t>Clothing</t>
  </si>
  <si>
    <t>CP031</t>
  </si>
  <si>
    <t>Clothing and footwear</t>
  </si>
  <si>
    <t>CP03</t>
  </si>
  <si>
    <t>Other tobacco products</t>
  </si>
  <si>
    <t>CP02203</t>
  </si>
  <si>
    <t>Cigars</t>
  </si>
  <si>
    <t>CP02202</t>
  </si>
  <si>
    <t>Cigarettes</t>
  </si>
  <si>
    <t>CP02201</t>
  </si>
  <si>
    <t>Tobacco</t>
  </si>
  <si>
    <t>CP022</t>
  </si>
  <si>
    <t>Beer-based drinks</t>
  </si>
  <si>
    <t>CP02134</t>
  </si>
  <si>
    <t>Low and non-alcoholic beer</t>
  </si>
  <si>
    <t>CP02133</t>
  </si>
  <si>
    <t>Other alcoholic beer</t>
  </si>
  <si>
    <t>CP02132</t>
  </si>
  <si>
    <t>Lager beer</t>
  </si>
  <si>
    <t>CP02131</t>
  </si>
  <si>
    <t>Beer</t>
  </si>
  <si>
    <t>CP0213</t>
  </si>
  <si>
    <t>Wine-based drinks</t>
  </si>
  <si>
    <t>CP02124</t>
  </si>
  <si>
    <t>Fortified wines</t>
  </si>
  <si>
    <t>CP02123</t>
  </si>
  <si>
    <t>Wine from other fruits</t>
  </si>
  <si>
    <t>CP02122</t>
  </si>
  <si>
    <t>Wine from grapes</t>
  </si>
  <si>
    <t>CP02121</t>
  </si>
  <si>
    <t>Wine</t>
  </si>
  <si>
    <t>CP0212</t>
  </si>
  <si>
    <t>Alcoholic soft drinks</t>
  </si>
  <si>
    <t>CP02112</t>
  </si>
  <si>
    <t>Spirits and liqueurs</t>
  </si>
  <si>
    <t>CP02111</t>
  </si>
  <si>
    <t>Spirits</t>
  </si>
  <si>
    <t>CP0211</t>
  </si>
  <si>
    <t>Alcoholic beverages</t>
  </si>
  <si>
    <t>CP021</t>
  </si>
  <si>
    <t>Alcoholic beverages, tobacco and narcotics</t>
  </si>
  <si>
    <t>CP02</t>
  </si>
  <si>
    <t>Fruit and vegetables juices</t>
  </si>
  <si>
    <t>CP01223</t>
  </si>
  <si>
    <t>Soft drinks</t>
  </si>
  <si>
    <t>CP01222</t>
  </si>
  <si>
    <t>Mineral or spring waters</t>
  </si>
  <si>
    <t>CP01221</t>
  </si>
  <si>
    <t>Mineral waters, soft drinks, fruit and vegetable juices</t>
  </si>
  <si>
    <t>CP0122</t>
  </si>
  <si>
    <t>Cocoa and powdered chocolate</t>
  </si>
  <si>
    <t>CP01213</t>
  </si>
  <si>
    <t>Tea</t>
  </si>
  <si>
    <t>CP01212</t>
  </si>
  <si>
    <t>Coffee</t>
  </si>
  <si>
    <t>CP01211</t>
  </si>
  <si>
    <t>Coffee, tea and cocoa</t>
  </si>
  <si>
    <t>CP0121</t>
  </si>
  <si>
    <t>Non-alcoholic beverages</t>
  </si>
  <si>
    <t>CP012</t>
  </si>
  <si>
    <t>Other food products n.e.c.</t>
  </si>
  <si>
    <t>CP01199</t>
  </si>
  <si>
    <t>Ready-made meals</t>
  </si>
  <si>
    <t>CP01194</t>
  </si>
  <si>
    <t>Baby food</t>
  </si>
  <si>
    <t>CP01193</t>
  </si>
  <si>
    <t>Salt, spices and culinary herbs</t>
  </si>
  <si>
    <t>CP01192</t>
  </si>
  <si>
    <t>Sauces, condiments</t>
  </si>
  <si>
    <t>CP01191</t>
  </si>
  <si>
    <t>Food products n.e.c.</t>
  </si>
  <si>
    <t>CP0119</t>
  </si>
  <si>
    <t>Artificial sugar substitutes</t>
  </si>
  <si>
    <t>CP01186</t>
  </si>
  <si>
    <t>Edible ices and ice cream</t>
  </si>
  <si>
    <t>CP01185</t>
  </si>
  <si>
    <t>Confectionery products</t>
  </si>
  <si>
    <t>CP01184</t>
  </si>
  <si>
    <t>Chocolate</t>
  </si>
  <si>
    <t>CP01183</t>
  </si>
  <si>
    <t>Jams, marmalades and honey</t>
  </si>
  <si>
    <t>CP01182</t>
  </si>
  <si>
    <t>Sugar</t>
  </si>
  <si>
    <t>CP01181</t>
  </si>
  <si>
    <t>Sugar, jam, honey, chocolate and confectionery</t>
  </si>
  <si>
    <t>CP0118</t>
  </si>
  <si>
    <t>Other tubers and products of tuber vegetables</t>
  </si>
  <si>
    <t>CP01176</t>
  </si>
  <si>
    <t>Crisps</t>
  </si>
  <si>
    <t>CP01175</t>
  </si>
  <si>
    <t>Potatoes</t>
  </si>
  <si>
    <t>CP01174</t>
  </si>
  <si>
    <t>Dried vegetables, other preserved or processed vegetables</t>
  </si>
  <si>
    <t>CP01173</t>
  </si>
  <si>
    <t>Frozen vegetables other than potatoes and other tubers</t>
  </si>
  <si>
    <t>CP01172</t>
  </si>
  <si>
    <t>Fresh or chilled vegetables other than potatoes and other tubers</t>
  </si>
  <si>
    <t>CP01171</t>
  </si>
  <si>
    <t>Vegetables</t>
  </si>
  <si>
    <t>CP0117</t>
  </si>
  <si>
    <t>Preserved fruit and fruit-based products</t>
  </si>
  <si>
    <t>CP01164</t>
  </si>
  <si>
    <t>Dried fruit and nuts</t>
  </si>
  <si>
    <t>CP01163</t>
  </si>
  <si>
    <t>Frozen fruit</t>
  </si>
  <si>
    <t>CP01162</t>
  </si>
  <si>
    <t>Fresh or chilled fruit</t>
  </si>
  <si>
    <t>CP01161</t>
  </si>
  <si>
    <t>Fruit</t>
  </si>
  <si>
    <t>CP0116</t>
  </si>
  <si>
    <t>Other edible animal fats</t>
  </si>
  <si>
    <t>CP01155</t>
  </si>
  <si>
    <t>Other edible oils</t>
  </si>
  <si>
    <t>CP01154</t>
  </si>
  <si>
    <t>Olive oil</t>
  </si>
  <si>
    <t>CP01153</t>
  </si>
  <si>
    <t>Margarine and other vegetable fats</t>
  </si>
  <si>
    <t>CP01152</t>
  </si>
  <si>
    <t>Butter</t>
  </si>
  <si>
    <t>CP01151</t>
  </si>
  <si>
    <t>Oils and fats</t>
  </si>
  <si>
    <t>CP0115</t>
  </si>
  <si>
    <t>Eggs</t>
  </si>
  <si>
    <t>CP01147</t>
  </si>
  <si>
    <t>Other milk products</t>
  </si>
  <si>
    <t>CP01146</t>
  </si>
  <si>
    <t>Cheese and curd</t>
  </si>
  <si>
    <t>CP01145</t>
  </si>
  <si>
    <t>Yoghurt</t>
  </si>
  <si>
    <t>CP01144</t>
  </si>
  <si>
    <t>Preserved milk</t>
  </si>
  <si>
    <t>CP01143</t>
  </si>
  <si>
    <t>Fresh low fat milk</t>
  </si>
  <si>
    <t>CP01142</t>
  </si>
  <si>
    <t>Fresh whole milk</t>
  </si>
  <si>
    <t>CP01141</t>
  </si>
  <si>
    <t>Milk, cheese and eggs</t>
  </si>
  <si>
    <t>CP0114</t>
  </si>
  <si>
    <t>Other preserved or processed fish and seafood and fish and seafood preparations</t>
  </si>
  <si>
    <t>CP01136</t>
  </si>
  <si>
    <t>Dried, smoked or salted fish and seafood</t>
  </si>
  <si>
    <t>CP01135</t>
  </si>
  <si>
    <t>Frozen seafood</t>
  </si>
  <si>
    <t>CP01134</t>
  </si>
  <si>
    <t>Fresh or chilled seafood</t>
  </si>
  <si>
    <t>CP01133</t>
  </si>
  <si>
    <t>Frozen fish</t>
  </si>
  <si>
    <t>CP01132</t>
  </si>
  <si>
    <t>Fresh or chilled fish</t>
  </si>
  <si>
    <t>CP01131</t>
  </si>
  <si>
    <t>Fish and seafood</t>
  </si>
  <si>
    <t>CP0113</t>
  </si>
  <si>
    <t>Other meat preparations</t>
  </si>
  <si>
    <t>CP01128</t>
  </si>
  <si>
    <t>Dried, salted or smoked meat</t>
  </si>
  <si>
    <t>CP01127</t>
  </si>
  <si>
    <t>Edible offal</t>
  </si>
  <si>
    <t>CP01126</t>
  </si>
  <si>
    <t>Other meats</t>
  </si>
  <si>
    <t>CP01125</t>
  </si>
  <si>
    <t>Poultry</t>
  </si>
  <si>
    <t>CP01124</t>
  </si>
  <si>
    <t>Lamb and goat</t>
  </si>
  <si>
    <t>CP01123</t>
  </si>
  <si>
    <t>Pork</t>
  </si>
  <si>
    <t>CP01122</t>
  </si>
  <si>
    <t>Beef and veal</t>
  </si>
  <si>
    <t>CP01121</t>
  </si>
  <si>
    <t>Meat</t>
  </si>
  <si>
    <t>CP0112</t>
  </si>
  <si>
    <t>Other cereal products</t>
  </si>
  <si>
    <t>CP01118</t>
  </si>
  <si>
    <t>Breakfast cereals</t>
  </si>
  <si>
    <t>CP01117</t>
  </si>
  <si>
    <t>Pasta products and couscous</t>
  </si>
  <si>
    <t>CP01116</t>
  </si>
  <si>
    <t>Pizza and quiche</t>
  </si>
  <si>
    <t>CP01115</t>
  </si>
  <si>
    <t>Other bakery products</t>
  </si>
  <si>
    <t>CP01114</t>
  </si>
  <si>
    <t>Bread</t>
  </si>
  <si>
    <t>CP01113</t>
  </si>
  <si>
    <t>Flours and other cereals</t>
  </si>
  <si>
    <t>CP01112</t>
  </si>
  <si>
    <t>Rice</t>
  </si>
  <si>
    <t>CP01111</t>
  </si>
  <si>
    <t>Bread and cereals</t>
  </si>
  <si>
    <t>CP0111</t>
  </si>
  <si>
    <t>Food</t>
  </si>
  <si>
    <t>CP011</t>
  </si>
  <si>
    <t>Food and non-alcoholic beverages</t>
  </si>
  <si>
    <t>CP01</t>
  </si>
  <si>
    <t>All-items HICP</t>
  </si>
  <si>
    <t>CP00</t>
  </si>
  <si>
    <t>Mainly administered prices</t>
  </si>
  <si>
    <t>APM</t>
  </si>
  <si>
    <t>Fully administered prices</t>
  </si>
  <si>
    <t>APF</t>
  </si>
  <si>
    <t>Administered prices, energy</t>
  </si>
  <si>
    <t>AP_NRG</t>
  </si>
  <si>
    <t>Administered prices, non-energy</t>
  </si>
  <si>
    <t>AP_NNRG</t>
  </si>
  <si>
    <t>Administered prices</t>
  </si>
  <si>
    <t>AP</t>
  </si>
  <si>
    <t>Real labour productivity per person</t>
  </si>
  <si>
    <t>RLPR_PER</t>
  </si>
  <si>
    <t>c[na_item]</t>
  </si>
  <si>
    <t>namq_10_lp_ulc</t>
  </si>
  <si>
    <t>Labour productivity and unit labour costs</t>
  </si>
  <si>
    <t>Real labour productivity per hour worked</t>
  </si>
  <si>
    <t>RLPR_HW</t>
  </si>
  <si>
    <t>Nominal unit labour cost based on persons</t>
  </si>
  <si>
    <t>NULC_PER</t>
  </si>
  <si>
    <t>Nominal unit labour cost based on hours worked</t>
  </si>
  <si>
    <t>NULC_HW</t>
  </si>
  <si>
    <t>CP_MEUR</t>
  </si>
  <si>
    <t>CLV15_MEUR</t>
  </si>
  <si>
    <t>Statistical discrepancy (income approach)</t>
  </si>
  <si>
    <t>YA2</t>
  </si>
  <si>
    <t>namq_10_gdp</t>
  </si>
  <si>
    <t>Statistical discrepancy (production approach)</t>
  </si>
  <si>
    <t>YA1</t>
  </si>
  <si>
    <t>Statistical discrepancy (expenditure approach)</t>
  </si>
  <si>
    <t>YA0</t>
  </si>
  <si>
    <t>Imports of services</t>
  </si>
  <si>
    <t>P72</t>
  </si>
  <si>
    <t>Imports of goods</t>
  </si>
  <si>
    <t>P71</t>
  </si>
  <si>
    <t>Imports of goods and services</t>
  </si>
  <si>
    <t>P7</t>
  </si>
  <si>
    <t>Exports of services</t>
  </si>
  <si>
    <t>P62</t>
  </si>
  <si>
    <t>Exports of goods</t>
  </si>
  <si>
    <t>P61</t>
  </si>
  <si>
    <t>Exports of goods and services</t>
  </si>
  <si>
    <t>P6</t>
  </si>
  <si>
    <t>Gross capital formation</t>
  </si>
  <si>
    <t>P5G</t>
  </si>
  <si>
    <t>Acquisitions less disposals of valuables</t>
  </si>
  <si>
    <t>P53</t>
  </si>
  <si>
    <t>Changes in inventories and acquisitions less disposals of valuables</t>
  </si>
  <si>
    <t>P52_P53</t>
  </si>
  <si>
    <t>Changes in inventories</t>
  </si>
  <si>
    <t>P52</t>
  </si>
  <si>
    <t>Gross fixed capital formation</t>
  </si>
  <si>
    <t>P51G</t>
  </si>
  <si>
    <t>Actual individual consumption</t>
  </si>
  <si>
    <t>P41</t>
  </si>
  <si>
    <t>Collective consumption expenditure of general government</t>
  </si>
  <si>
    <t>P32_S13</t>
  </si>
  <si>
    <t>Final consumption expenditure of NPISH</t>
  </si>
  <si>
    <t>P31_S15</t>
  </si>
  <si>
    <t>Household and NPISH final consumption expenditure</t>
  </si>
  <si>
    <t>P31_S14_S15</t>
  </si>
  <si>
    <t>Final consumption expenditure of households</t>
  </si>
  <si>
    <t>P31_S14</t>
  </si>
  <si>
    <t>Individual consumption expenditure of general government</t>
  </si>
  <si>
    <t>P31_S13</t>
  </si>
  <si>
    <t>Final consumption expenditure of general government</t>
  </si>
  <si>
    <t>P3_S13</t>
  </si>
  <si>
    <t>Final consumption expenditure, gross capital formation and exports of goods and services</t>
  </si>
  <si>
    <t>P3_P6</t>
  </si>
  <si>
    <t>Final consumption expenditure and gross capital formation</t>
  </si>
  <si>
    <t>P3_P5</t>
  </si>
  <si>
    <t>Final consumption expenditure</t>
  </si>
  <si>
    <t>P3</t>
  </si>
  <si>
    <t>Subsidies on products</t>
  </si>
  <si>
    <t>D31</t>
  </si>
  <si>
    <t>Subsidies</t>
  </si>
  <si>
    <t>D3</t>
  </si>
  <si>
    <t>Taxes on production and imports less subsidies</t>
  </si>
  <si>
    <t>D2X3</t>
  </si>
  <si>
    <t>Taxes less subsidies on products</t>
  </si>
  <si>
    <t>D21X31</t>
  </si>
  <si>
    <t>Taxes on products</t>
  </si>
  <si>
    <t>D21</t>
  </si>
  <si>
    <t>Taxes on production and imports</t>
  </si>
  <si>
    <t>D2</t>
  </si>
  <si>
    <t>Employers' social contributions</t>
  </si>
  <si>
    <t>D12</t>
  </si>
  <si>
    <t>Wages and salaries</t>
  </si>
  <si>
    <t>D11</t>
  </si>
  <si>
    <t>Compensation of employees</t>
  </si>
  <si>
    <t>D1</t>
  </si>
  <si>
    <t>Operating surplus and mixed income, gross</t>
  </si>
  <si>
    <t>B2A3G</t>
  </si>
  <si>
    <t>Gross domestic product at market prices</t>
  </si>
  <si>
    <t>B1GQ</t>
  </si>
  <si>
    <t>Value added, gross</t>
  </si>
  <si>
    <t>B1G</t>
  </si>
  <si>
    <t>External balance - services</t>
  </si>
  <si>
    <t>B112</t>
  </si>
  <si>
    <t>External balance - goods</t>
  </si>
  <si>
    <t>B111</t>
  </si>
  <si>
    <t>External balance of goods and services</t>
  </si>
  <si>
    <t>B11</t>
  </si>
  <si>
    <t>Other machinery and equipment and weapons systems (gross)</t>
  </si>
  <si>
    <t>N11OG</t>
  </si>
  <si>
    <t>c[asset10]</t>
  </si>
  <si>
    <t>namq_10_an6</t>
  </si>
  <si>
    <t>Gross fixed capital formation by main asset type</t>
  </si>
  <si>
    <t>Machinery and equipment and weapons systems (gross)</t>
  </si>
  <si>
    <t>N11MG</t>
  </si>
  <si>
    <t>Total construction (gross)</t>
  </si>
  <si>
    <t>N11KG</t>
  </si>
  <si>
    <t>Total fixed assets (gross)</t>
  </si>
  <si>
    <t>N11G</t>
  </si>
  <si>
    <t>Intellectual property products (gross)</t>
  </si>
  <si>
    <t>N117G</t>
  </si>
  <si>
    <t>Cultivated biological resources (gross)</t>
  </si>
  <si>
    <t>N115G</t>
  </si>
  <si>
    <t>ICT equipment (gross)</t>
  </si>
  <si>
    <t>N1132G</t>
  </si>
  <si>
    <t>Transport equipment (gross)</t>
  </si>
  <si>
    <t>N1131G</t>
  </si>
  <si>
    <t>Other buildings and structures (gross)</t>
  </si>
  <si>
    <t>N112G</t>
  </si>
  <si>
    <t>Dwellings (gross)</t>
  </si>
  <si>
    <t>N111G</t>
  </si>
  <si>
    <t>I15_NSA</t>
  </si>
  <si>
    <t>c[indic]</t>
  </si>
  <si>
    <t>ei_hppi_q</t>
  </si>
  <si>
    <t>Expectation of the employment over the next 3 months</t>
  </si>
  <si>
    <t>BS-SEEM</t>
  </si>
  <si>
    <t>ei_bsse_m_r2</t>
  </si>
  <si>
    <t>Services confidence indicator</t>
  </si>
  <si>
    <t>BS-SCI</t>
  </si>
  <si>
    <t>Evolution of demand over the past 3 months</t>
  </si>
  <si>
    <t>BS-SARM</t>
  </si>
  <si>
    <t>Expectation of the demand over the next 3 months</t>
  </si>
  <si>
    <t>BS-SAEM</t>
  </si>
  <si>
    <t>Business situation development over the past 3 months</t>
  </si>
  <si>
    <t>BS-SABC</t>
  </si>
  <si>
    <t>Price expectations over the next 3 months</t>
  </si>
  <si>
    <t>BS-RPE</t>
  </si>
  <si>
    <t>ei_bsrt_m_r2</t>
  </si>
  <si>
    <t>Retail trade confidence indicator and survey results- monthly data</t>
  </si>
  <si>
    <t>Business activity (sales) development over the past 3 months</t>
  </si>
  <si>
    <t>BS-RPBS</t>
  </si>
  <si>
    <t>Expectations of the number of orders placed with suppliers over the next 3 months</t>
  </si>
  <si>
    <t>BS-ROP</t>
  </si>
  <si>
    <t>Employment expectations over the next 3 months</t>
  </si>
  <si>
    <t>BS-REM</t>
  </si>
  <si>
    <t>Business activity expectations over the next 3 months</t>
  </si>
  <si>
    <t>BS-REBS</t>
  </si>
  <si>
    <t>Retail confidence indicator</t>
  </si>
  <si>
    <t>BS-RCI</t>
  </si>
  <si>
    <t>Volume of stocks currently hold</t>
  </si>
  <si>
    <t>BS-RAS</t>
  </si>
  <si>
    <t>Assessment of the current level of stocks of finished products</t>
  </si>
  <si>
    <t>BS-ISFP</t>
  </si>
  <si>
    <t>ei_bsin_m_r2</t>
  </si>
  <si>
    <t>Production development observed over the past 3 months</t>
  </si>
  <si>
    <t>BS-IPT</t>
  </si>
  <si>
    <t>Assessment of order-book levels</t>
  </si>
  <si>
    <t>BS-IOB</t>
  </si>
  <si>
    <t>Assessment of export order-book levels</t>
  </si>
  <si>
    <t>BS-IEOB</t>
  </si>
  <si>
    <t>BS-IEME</t>
  </si>
  <si>
    <t>Industrial confidence indicator</t>
  </si>
  <si>
    <t>BS-ICI</t>
  </si>
  <si>
    <t>Unemployment expectations over the next 12 months</t>
  </si>
  <si>
    <t>BS-UE-NY</t>
  </si>
  <si>
    <t>ei_bsco_m</t>
  </si>
  <si>
    <t>Savings over the next 12 months</t>
  </si>
  <si>
    <t>BS-SV-NY</t>
  </si>
  <si>
    <t>Statement on financial situation of household</t>
  </si>
  <si>
    <t>BS-SFSH</t>
  </si>
  <si>
    <t>Price trends over the next 12 months</t>
  </si>
  <si>
    <t>BS-PT-NY</t>
  </si>
  <si>
    <t>Price trends over the last 12 months</t>
  </si>
  <si>
    <t>BS-PT-LY</t>
  </si>
  <si>
    <t>The current economic situation is adequate to make major  purchases</t>
  </si>
  <si>
    <t>BS-MP-PR</t>
  </si>
  <si>
    <t>Major purchases over the next 12 months</t>
  </si>
  <si>
    <t>BS-MP-NY</t>
  </si>
  <si>
    <t>General economic situation over the next 12 months</t>
  </si>
  <si>
    <t>BS-GES-NY</t>
  </si>
  <si>
    <t>General economic situation over the last 12 months</t>
  </si>
  <si>
    <t>BS-GES-LY</t>
  </si>
  <si>
    <t>Financial situation over the next 12 months</t>
  </si>
  <si>
    <t>BS-FS-NY</t>
  </si>
  <si>
    <t>Financial situation over the last 12 months</t>
  </si>
  <si>
    <t>BS-FS-LY</t>
  </si>
  <si>
    <t>Consumer confidence indicator</t>
  </si>
  <si>
    <t>BS-CSMCI</t>
  </si>
  <si>
    <t>Building activity development over the past 3 months</t>
  </si>
  <si>
    <t>BS-CTA-BAL</t>
  </si>
  <si>
    <t>ei_bsbu_m_r2</t>
  </si>
  <si>
    <t>BS-CPE-BAL</t>
  </si>
  <si>
    <t>Evolution of the current overall order books</t>
  </si>
  <si>
    <t>BS-COB-BAL</t>
  </si>
  <si>
    <t>Employment expectations over the next 3 months - construction</t>
  </si>
  <si>
    <t>BS-CEME-BAL</t>
  </si>
  <si>
    <t>Construction confidence indicator</t>
  </si>
  <si>
    <t>BS-CCI-BAL</t>
  </si>
  <si>
    <t>freq</t>
  </si>
  <si>
    <t>c[s_adj]</t>
  </si>
  <si>
    <t>c[unit]</t>
  </si>
  <si>
    <t>ITEM_LABEL</t>
  </si>
  <si>
    <t>ITEM</t>
  </si>
  <si>
    <t>ITEM_TYPE</t>
  </si>
  <si>
    <t>CODE</t>
  </si>
  <si>
    <t>CODE_DES</t>
  </si>
  <si>
    <t>Türkiye</t>
  </si>
  <si>
    <t>TR</t>
  </si>
  <si>
    <t>United Kingdom</t>
  </si>
  <si>
    <t>UK</t>
  </si>
  <si>
    <t>Switzerland</t>
  </si>
  <si>
    <t>CH</t>
  </si>
  <si>
    <t>Norway</t>
  </si>
  <si>
    <t>NO</t>
  </si>
  <si>
    <t>Iceland</t>
  </si>
  <si>
    <t>IS</t>
  </si>
  <si>
    <t>Sweden</t>
  </si>
  <si>
    <t>SE</t>
  </si>
  <si>
    <t>Finland</t>
  </si>
  <si>
    <t>FI</t>
  </si>
  <si>
    <t>Slovakia</t>
  </si>
  <si>
    <t>SK</t>
  </si>
  <si>
    <t>Slovenia</t>
  </si>
  <si>
    <t>SI</t>
  </si>
  <si>
    <t>Romania</t>
  </si>
  <si>
    <t>RO</t>
  </si>
  <si>
    <t>Portugal</t>
  </si>
  <si>
    <t>PT</t>
  </si>
  <si>
    <t>Poland</t>
  </si>
  <si>
    <t>PL</t>
  </si>
  <si>
    <t>Austria</t>
  </si>
  <si>
    <t>AT</t>
  </si>
  <si>
    <t>Netherlands</t>
  </si>
  <si>
    <t>NL</t>
  </si>
  <si>
    <t>Malta</t>
  </si>
  <si>
    <t>MT</t>
  </si>
  <si>
    <t>Hungary</t>
  </si>
  <si>
    <t>HU</t>
  </si>
  <si>
    <t>Luxembourg</t>
  </si>
  <si>
    <t>LU</t>
  </si>
  <si>
    <t>Lithuania</t>
  </si>
  <si>
    <t>LT</t>
  </si>
  <si>
    <t>Latvia</t>
  </si>
  <si>
    <t>LV</t>
  </si>
  <si>
    <t>Cyprus</t>
  </si>
  <si>
    <t>CY</t>
  </si>
  <si>
    <t>Italy</t>
  </si>
  <si>
    <t>IT</t>
  </si>
  <si>
    <t>Croatia</t>
  </si>
  <si>
    <t>HR</t>
  </si>
  <si>
    <t>France</t>
  </si>
  <si>
    <t>FR</t>
  </si>
  <si>
    <t>Spain</t>
  </si>
  <si>
    <t>ES</t>
  </si>
  <si>
    <t>Ireland</t>
  </si>
  <si>
    <t>IE</t>
  </si>
  <si>
    <t>Estonia</t>
  </si>
  <si>
    <t>EE</t>
  </si>
  <si>
    <t>Germany</t>
  </si>
  <si>
    <t>DE</t>
  </si>
  <si>
    <t>Denmark</t>
  </si>
  <si>
    <t>DK</t>
  </si>
  <si>
    <t>Czechia</t>
  </si>
  <si>
    <t>CZ</t>
  </si>
  <si>
    <t>Bulgaria</t>
  </si>
  <si>
    <t>BG</t>
  </si>
  <si>
    <t>Belgium</t>
  </si>
  <si>
    <t>BE</t>
  </si>
  <si>
    <t>Euro area - 19 countries  (2015-2022)</t>
  </si>
  <si>
    <t>EA19</t>
  </si>
  <si>
    <t>Euro area – 20 countries (from 2023)</t>
  </si>
  <si>
    <t>EA20</t>
  </si>
  <si>
    <t>Euro area (EA11-1999, EA12-2001, EA13-2007, EA15-2008, EA16-2009, EA17-2011, EA18-2014, EA19-2015, EA20-2023)</t>
  </si>
  <si>
    <t>EA</t>
  </si>
  <si>
    <t>European Union - 28 countries (2013-2020)</t>
  </si>
  <si>
    <t>EU28</t>
  </si>
  <si>
    <t>European Union - 27 countries (from 2020)</t>
  </si>
  <si>
    <t>EU27_2020</t>
  </si>
  <si>
    <t>European Union (EU6-1958, EU9-1973, EU10-1981, EU12-1986, EU15-1995, EU25-2004, EU27-2007, EU28-2013, EU27-2020)</t>
  </si>
  <si>
    <t>EU</t>
  </si>
  <si>
    <t>des</t>
  </si>
  <si>
    <t>geo</t>
  </si>
  <si>
    <t>c[coicop]</t>
  </si>
  <si>
    <t>ID_TYPE</t>
  </si>
  <si>
    <t>TYPE</t>
  </si>
  <si>
    <t>Confidence and Sentiment</t>
  </si>
  <si>
    <t>Index Price</t>
  </si>
  <si>
    <t>GDP</t>
  </si>
  <si>
    <t>SCA</t>
  </si>
  <si>
    <t>c[unit]_real</t>
  </si>
  <si>
    <t>c[s_adj]_sa</t>
  </si>
  <si>
    <t>c[geo]</t>
  </si>
  <si>
    <t>EURIBOR_1M</t>
  </si>
  <si>
    <t>EURIBOR_3M</t>
  </si>
  <si>
    <t>EURIBOR_6M</t>
  </si>
  <si>
    <t>ECB_MRO_RATE</t>
  </si>
  <si>
    <t>FM.B.U2.EUR.4F.KR.MRR_FR.LEV</t>
  </si>
  <si>
    <t>ECB_DFR_RATE</t>
  </si>
  <si>
    <t>FM.B.U2.EUR.4F.KR.DFR.LEV</t>
  </si>
  <si>
    <t>ECB_MLFR_RATE</t>
  </si>
  <si>
    <t>FM.B.U2.EUR.4F.KR.MLFR.LEV</t>
  </si>
  <si>
    <t>HICP</t>
  </si>
  <si>
    <t>EXR.Q.E02.EUR.ERD0.A</t>
  </si>
  <si>
    <t>EXR.Q.E02.EUR.ERU1.A</t>
  </si>
  <si>
    <t>USD_EU</t>
  </si>
  <si>
    <t>EXR.M.USD.EUR.SP00.A</t>
  </si>
  <si>
    <t>UK_EU</t>
  </si>
  <si>
    <t>EXR.M.GBP.EUR.SP00.A</t>
  </si>
  <si>
    <t>MNA.Q.Y.IT.W2.S1.S1.B.B1GQ._Z._Z._Z.IX.D.N</t>
  </si>
  <si>
    <t>MNA.Q.N.IT.W2.S1.S1.B.B1GQ._Z._Z._Z.IX.D.N</t>
  </si>
  <si>
    <t>MNA.Q.N.IT.W2.S1.S1.B.B1GQ._Z._Z._Z.EUR.V.N</t>
  </si>
  <si>
    <t>MNA.Q.Y.IT.W0.S1M.S1.D.P31._Z._Z._T.EUR.V.N</t>
  </si>
  <si>
    <t>MNA.Q.Y.IT.W0.S1.S1.D.P51G.N11G._T._Z.EUR.V.N</t>
  </si>
  <si>
    <t>MNA.Q.Y.IT.W0.S1.S1.D.P3T5._Z._Z._Z.EUR.V.N</t>
  </si>
  <si>
    <t>MNA.Q.N.IT.W0.S1.S1.D.P3T5._Z._Z._Z.EUR.V.N</t>
  </si>
  <si>
    <t>MNA.Q.Y.IT.W1.S1.S1.D.P6._Z._Z._Z.EUR.V.N</t>
  </si>
  <si>
    <t>MNA.Q.Y.IT.W1.S1.S1.C.P7._Z._Z._Z.EUR.V.N</t>
  </si>
  <si>
    <t>MNA.Q.Y.IT.W0.S1M.S1.D.P31._Z._Z._T.EUR.LR.N</t>
  </si>
  <si>
    <t>MNA.Q.Y.IT.W0.S1.S1.D.P51G.N11G._T._Z.EUR.LR.N</t>
  </si>
  <si>
    <t>MNA.Q.Y.IT.W0.S1.S1.D.P3T5._Z._Z._Z.EUR.LR.N</t>
  </si>
  <si>
    <t>MNA.Q.Y.IT.W1.S1.S1.C.P7._Z._Z._Z.EUR.LR.N</t>
  </si>
  <si>
    <t>MNA.Q.Y.IT.W0.S13.S1.D.P3._Z._Z._T.EUR.V.N</t>
  </si>
  <si>
    <t>MNA.Q.Y.I9.W0.S1.S1.D.P5M.N1MG._T._Z.EUR.V.N</t>
  </si>
  <si>
    <t>MNA.A.N.IT.W2.S1.S1.D.D1._Z._T._Z.EUR.V.N</t>
  </si>
  <si>
    <t>STS.M.I9.Y.PROD.NS0020.4.000</t>
  </si>
  <si>
    <t>STS.M.I9.Y.PROD.NS0010.4.000</t>
  </si>
  <si>
    <t>STS.M.I9.W.TOVV.2G4700.4.000</t>
  </si>
  <si>
    <t>STS.M.I9.W.TOVV.2G4730.4.000</t>
  </si>
  <si>
    <t>BSI.M.U2.Y.V.M30.X.1.U2.2300.Z01.E</t>
  </si>
  <si>
    <t>MIR.M.U2.B.A2B.A.R.A.2250.EUR.N</t>
  </si>
  <si>
    <t>MIR.M.IT.B.A2B.A.R.A.2250.EUR.N</t>
  </si>
  <si>
    <t>MIR.M.U2.B.A2C.A.R.A.2250.EUR.N</t>
  </si>
  <si>
    <t>MIR.M.IT.B.A2C.A.R.A.2250.EUR.N</t>
  </si>
  <si>
    <t>MIR.M.U2.B.A2A.A.R.A.2240.EUR.N</t>
  </si>
  <si>
    <t>MIR.M.IT.B.A2A.A.R.A.2240.EUR.N</t>
  </si>
  <si>
    <t>EU_OVNDEPO_CORPORATE_IR</t>
  </si>
  <si>
    <t>MIR.M.U2.B.L21.A.R.A.2240.EUR.N</t>
  </si>
  <si>
    <t>EU_OVNDEPO_HOUSEHOLDS_IR</t>
  </si>
  <si>
    <t>MIR.M.U2.B.L21.A.R.A.2250.EUR.N</t>
  </si>
  <si>
    <t>EU_TIMEDEPO_CORPORATE_IR</t>
  </si>
  <si>
    <t>MIR.M.U2.B.L22.A.R.A.2240.EUR.N</t>
  </si>
  <si>
    <t>EU_TIMEDEPO_HOUSEHOLDS_IR</t>
  </si>
  <si>
    <t>MIR.M.U2.B.L22.A.R.A.2250.EUR.N</t>
  </si>
  <si>
    <t>BSI.M.U2.N.A.A20.A.1.U2.2240.Z01.E</t>
  </si>
  <si>
    <t>BSI.M.IT.N.A.A20.A.1.U2.2240.Z01.E</t>
  </si>
  <si>
    <t>BPS.Q.N.IT.W1.S1.S1.T.B.CA._Z._Z._Z.EUR._T._X.N.ALL</t>
  </si>
  <si>
    <t>BPS.Q.N.IT.W1.S1.S1.T.B.KA._Z._Z._Z.EUR._T._X.N.ALL</t>
  </si>
  <si>
    <t>BPS.Q.N.IT.W1.S1.S1.T.N.FA._T.F._Z.EUR._T._X.N.ALL</t>
  </si>
  <si>
    <t>BPS.Q.N.IT.W1.S121.S1.LE.A.FA.R.F._Z.EUR.X1._X.N.ALL</t>
  </si>
  <si>
    <t>WAGE</t>
  </si>
  <si>
    <t>MNA.Q.Y.IT.W2.S1.S1.D.D11._Z._T._Z.XDC.V.N</t>
  </si>
  <si>
    <t>ECB</t>
  </si>
  <si>
    <t>NAME</t>
  </si>
  <si>
    <t>FULL_CODE</t>
  </si>
  <si>
    <t>DATAFLOW</t>
  </si>
  <si>
    <t>SELECT</t>
  </si>
  <si>
    <t>IR</t>
  </si>
  <si>
    <t>EXR</t>
  </si>
  <si>
    <t>MNA.Q.N.IT.W0.S1.S1._Z.LPR_PS._Z._T._Z.XDC.LR.N</t>
  </si>
  <si>
    <t>Labour Productivity (per hours worked)</t>
  </si>
  <si>
    <t>MNA.Q.N.B6.W0.S1.S1._Z.LPR_HW._Z._T._Z.EUR.LR.N</t>
  </si>
  <si>
    <t>MNA.Q.N.B6.W0.S1.S1._Z.LPR_HW._Z._T._Z.IX.LR.N</t>
  </si>
  <si>
    <t>Labour Productivity (per persons)</t>
  </si>
  <si>
    <t>MNA.Q.N.B6.W0.S1.S1._Z.LPR_PS._Z._T._Z.EUR.LR.N</t>
  </si>
  <si>
    <t>MNA.Q.N.B6.W0.S1.S1._Z.LPR_PS._Z._T._Z.IX.LR.N</t>
  </si>
  <si>
    <t>MNA.Q.Y.B6.W0.S1.S1._Z.LPR_HW._Z._T._Z.EUR.LR.N</t>
  </si>
  <si>
    <t>MNA.Q.Y.B6.W0.S1.S1._Z.LPR_HW._Z._T._Z.IX.LR.N</t>
  </si>
  <si>
    <t>MNA.Q.Y.B6.W0.S1.S1._Z.LPR_PS._Z._T._Z.EUR.LR.N</t>
  </si>
  <si>
    <t>MNA.Q.Y.B6.W0.S1.S1._Z.LPR_PS._Z._T._Z.IX.LR.N</t>
  </si>
  <si>
    <t>MNA.Q.N.IT.W0.S1.S1._Z.LPR_HW._Z._T._Z.IX.LR.N</t>
  </si>
  <si>
    <t>MNA.Q.N.IT.W0.S1.S1._Z.LPR_HW._Z._T._Z.XDC.LR.N</t>
  </si>
  <si>
    <t>MNA.Q.N.IT.W0.S1.S1._Z.LPR_PS._Z._T._Z.IX.LR.N</t>
  </si>
  <si>
    <t>MNA.Q.Y.IT.W0.S1.S1._Z.LPR_HW._Z._T._Z.IX.LR.N</t>
  </si>
  <si>
    <t>MNA.Q.Y.IT.W0.S1.S1._Z.LPR_HW._Z._T._Z.XDC.LR.N</t>
  </si>
  <si>
    <t>MNA.Q.Y.IT.W0.S1.S1._Z.LPR_PS._Z._T._Z.IX.LR.N</t>
  </si>
  <si>
    <t>MNA.Q.Y.IT.W0.S1.S1._Z.LPR_PS._Z._T._Z.XDC.LR.N</t>
  </si>
  <si>
    <t xml:space="preserve">Cost of borrowing for households for house purchase - euro area </t>
  </si>
  <si>
    <t>MIR.M.U2.B.A2C.AM.R.A.2250.EUR.N</t>
  </si>
  <si>
    <t xml:space="preserve">Cost of borrowing for corporations - euro area </t>
  </si>
  <si>
    <t>MIR.M.U2.B.A2I.AM.R.A.2240.EUR.N</t>
  </si>
  <si>
    <t xml:space="preserve">Cost of borrowing for new short-term loans- euro area </t>
  </si>
  <si>
    <t>MIR.M.U2.B.A2J.FM.R.A.2230.EUR.N</t>
  </si>
  <si>
    <t xml:space="preserve">Cost of borrowing for new long-term loans- euro area </t>
  </si>
  <si>
    <t>MIR.M.U2.B.A2J.KM.R.A.2230.EUR.N</t>
  </si>
  <si>
    <t>Unemployement Rate</t>
  </si>
  <si>
    <t>LFSI.M.B6.N.UNEMPL.TOTAL0.15_74.T</t>
  </si>
  <si>
    <t>LFSI.M.B6.S.UNEMPL.TOTAL0.15_74.T</t>
  </si>
  <si>
    <t>LFSI.M.IT.N.UNEHRT.TOTAL0.15_74.T</t>
  </si>
  <si>
    <t>LFSI.M.IT.S.UNEHRT.TOTAL0.15_74.T</t>
  </si>
  <si>
    <t>YC.B.U2.EUR.4F.G_N_C.SV_C_YM.PY_10Y</t>
  </si>
  <si>
    <t>YC.B.U2.EUR.4F.G_N_C.SV_C_YM.PY_15Y</t>
  </si>
  <si>
    <t>YC.B.U2.EUR.4F.G_N_C.SV_C_YM.PY_1Y</t>
  </si>
  <si>
    <t>YC.B.U2.EUR.4F.G_N_C.SV_C_YM.PY_20Y</t>
  </si>
  <si>
    <t>YC.B.U2.EUR.4F.G_N_C.SV_C_YM.PY_2Y</t>
  </si>
  <si>
    <t>YC.B.U2.EUR.4F.G_N_C.SV_C_YM.PY_3Y</t>
  </si>
  <si>
    <t>YC.B.U2.EUR.4F.G_N_C.SV_C_YM.PY_5Y</t>
  </si>
  <si>
    <t>FM.M.U2.EUR.4F.BB.U2_10Y.YLD</t>
  </si>
  <si>
    <t>FM.M.U2.EUR.4F.BB.U2_2Y.YLD</t>
  </si>
  <si>
    <t>FM.M.U2.EUR.4F.BB.U2_3Y.YLD</t>
  </si>
  <si>
    <t>FM.M.U2.EUR.4F.BB.U2_5Y.YLD</t>
  </si>
  <si>
    <t>FM.M.U2.EUR.4F.BB.U2_7Y.YLD</t>
  </si>
  <si>
    <t>EURO STOXX 50 Equity Index - Historical close, average of observations through period</t>
  </si>
  <si>
    <t>FM.Q.U2.EUR.DS.EI.DJES50I.HSTA</t>
  </si>
  <si>
    <t>EURO STOXX Equity Index - Historical close, average of observations through period</t>
  </si>
  <si>
    <t>FM.Q.U2.EUR.DS.EI.DJEURST.HSTA</t>
  </si>
  <si>
    <t>EURO STOXX BASIC MATERIALS EURO Equity Index - Historical close, average of observations through period</t>
  </si>
  <si>
    <t>FM.Q.U2.EUR.DS.EI.S1ESBME.HSTA</t>
  </si>
  <si>
    <t>EURO STOXX CONS DISCR E Equity Index - Historical close, average of observations through period</t>
  </si>
  <si>
    <t>FM.Q.U2.EUR.DS.EI.S1ESCSE.HSTA</t>
  </si>
  <si>
    <t>EURO STOXX TECHNOLOGY E Equity Index - Historical close, average of observations through period</t>
  </si>
  <si>
    <t>FM.Q.U2.EUR.DS.EI.S1ESG1E.HSTA</t>
  </si>
  <si>
    <t>EURO STOXX HEALTH CARE E Equity Index - Historical close, average of observations through period</t>
  </si>
  <si>
    <t>FM.Q.U2.EUR.DS.EI.S1ESH1E.HSTA</t>
  </si>
  <si>
    <t>EURO STOXX INDUSTRIALS E Equity Index - Historical close, average of observations through period</t>
  </si>
  <si>
    <t>FM.Q.U2.EUR.DS.EI.S1ESIDE.HSTA</t>
  </si>
  <si>
    <t>EURO STOXX ENERGY EURO Equity Index - Historical close, average of observations through period</t>
  </si>
  <si>
    <t>FM.Q.U2.EUR.DS.EI.S1ESO1E.HSTA</t>
  </si>
  <si>
    <t>EURO STOXX TELECOM E Equity Index - Historical close, average of observations through period</t>
  </si>
  <si>
    <t>FM.Q.U2.EUR.DS.EI.S1EST1E.HSTA</t>
  </si>
  <si>
    <t>EURO STOXX UTILITIES EURO Equity Index - Historical close, average of observations through period</t>
  </si>
  <si>
    <t>FM.Q.U2.EUR.DS.EI.S1ESU1E.HSTA</t>
  </si>
  <si>
    <t>Unit Labour Cost (based on hours worked)</t>
  </si>
  <si>
    <t>MNA.Q.N.B6.W2.S1.S1._Z.ULC_HW._Z._T._Z.EUR.D.N</t>
  </si>
  <si>
    <t>Unit Labour Cost (based on persons)</t>
  </si>
  <si>
    <t>MNA.Q.N.B6.W2.S1.S1._Z.ULC_PS._Z._T._Z.EUR.D.N</t>
  </si>
  <si>
    <t>MNA.Q.N.IT.W2.S1.S1._Z.ULC_HW._Z._T._Z.IX.D.N</t>
  </si>
  <si>
    <t>MNA.Q.N.IT.W2.S1.S1._Z.ULC_HW._Z._T._Z.XDC.D.N</t>
  </si>
  <si>
    <t>MNA.Q.N.IT.W2.S1.S1._Z.ULC_PS._Z._T._Z.IX.D.N</t>
  </si>
  <si>
    <t>MNA.Q.N.IT.W2.S1.S1._Z.ULC_PS._Z._T._Z.XDC.D.N</t>
  </si>
  <si>
    <t>MNA.Q.Y.B6.W2.S1.S1._Z.ULC_HW._Z._T._Z.EUR.D.N</t>
  </si>
  <si>
    <t>MNA.Q.Y.B6.W2.S1.S1._Z.ULC_HW._Z._T._Z.IX.D.N</t>
  </si>
  <si>
    <t>MNA.Q.Y.B6.W2.S1.S1._Z.ULC_PS._Z._T._Z.EUR.D.N</t>
  </si>
  <si>
    <t>MNA.Q.Y.IT.W2.S1.S1._Z.ULC_PS._Z._T._Z.IX.D.N</t>
  </si>
  <si>
    <t>GFS.Q.N.IT.W0.S13.S1.C.L.LE.GD.T._Z.XDC._T.F.V.N._T</t>
  </si>
  <si>
    <t>GFS.Q.N.I9.W0.S13.S1.C.L.LE.GD.T._Z.XDC._T.F.V.N._T</t>
  </si>
  <si>
    <t>NEW CISS - Composite Indicator of Systemic Stress.</t>
  </si>
  <si>
    <t>CISS.D.CN.Z0Z.4F.EC.SS_CIN.IDX</t>
  </si>
  <si>
    <t>CISS.D.IT.Z0Z.4F.EC.SS_CIN.IDX</t>
  </si>
  <si>
    <t>CISS - Composite Indicator of Systemic Stress</t>
  </si>
  <si>
    <t>CISS.D.US.Z0Z.4F.EC.SS_CI.IDX</t>
  </si>
  <si>
    <t>Composite Indicator of Sovereign Stress (SovCISS)Italy</t>
  </si>
  <si>
    <t>CISS.M.IT.Z0Z.4F.EC.SOV_CI.IDX</t>
  </si>
  <si>
    <t>Country Level Index of Financial Stress (CLIFS) Italy</t>
  </si>
  <si>
    <t>CLIFS.M.IT._Z.4F.EC.CLIFS_CI.IDX</t>
  </si>
  <si>
    <t>Annual growth rate of new loans to households and non-financial corporations -  Italy</t>
  </si>
  <si>
    <t>RAI.M.IT.GRNLHHNFC.EUR.MIR.Z</t>
  </si>
  <si>
    <t>MFIs lending margins on new loans to households and non-financial corporations -  Italy</t>
  </si>
  <si>
    <t>RAI.M.IT.LMGBLNFCH.EUR.MIR.Z</t>
  </si>
  <si>
    <t>MFIs lending margins on loans for house purchase -  Italy</t>
  </si>
  <si>
    <t>RAI.M.IT.LMGLHH.EUR.MIR.Z</t>
  </si>
  <si>
    <t>MFIs lending margins on loans to non-financial corporations -  Italy</t>
  </si>
  <si>
    <t>RAI.M.IT.LMGLNFC.EUR.MIR.Z</t>
  </si>
  <si>
    <t>MFIs lending margins on outstanding loans to households and non-financial corporations -  Italy</t>
  </si>
  <si>
    <t>RAI.M.IT.LMGOLNFCH.EUR.MIR.Z</t>
  </si>
  <si>
    <t>Share of variable rate loans in total loans to households and non-financial corporations -  Italy</t>
  </si>
  <si>
    <t>RAI.M.IT.SVLHHNFC.EUR.MIR.Z</t>
  </si>
  <si>
    <t>Share of variable rate loans in total loans for house purchase -  Italy</t>
  </si>
  <si>
    <t>RAI.M.IT.SVLHPHH.EUR.MIR.Z</t>
  </si>
  <si>
    <t>Share of loans with fixation period or residual maturity or next interest rate reset in the next one year in total loans to households -  Italy</t>
  </si>
  <si>
    <t>RAI.Q.IT.SVLOAHH.EUR.BSI.Z</t>
  </si>
  <si>
    <t>Share of loans with fixation period or residual maturity or next interest rate reset in the next one year in total loans to non-financial corporations -  Italy</t>
  </si>
  <si>
    <t>RAI.Q.IT.SVLOANFC.EUR.BSI.Z</t>
  </si>
  <si>
    <t>Outstanding amounts of debt securities by Italy Non financial corporations</t>
  </si>
  <si>
    <t>CSEC.M.N.IT.W0.S11.S1.N.L.LE.F3.T._Z.EUR._T.M.V.N._T</t>
  </si>
  <si>
    <t>Outstanding amounts of debt securities by Italy Financial corporations</t>
  </si>
  <si>
    <t>CSEC.M.N.IT.W0.S12.S1.N.L.LE.F3.T._Z.EUR._T.M.V.N._T</t>
  </si>
  <si>
    <t>CSEC.M.N.IT.W0.S13.S1.N.L.LE.F3.T._Z.EUR._T.M.V.N._T</t>
  </si>
  <si>
    <t>Outstanding amounts of debt securities by Italy Total economy</t>
  </si>
  <si>
    <t>CSEC.M.N.IT.W0.S1.S1.N.L.LE.F3.T._Z.EUR._T.M.V.N._T</t>
  </si>
  <si>
    <t>MNA.Q.Y.IT.W2.S1.S1._Z.ULC_HW._Z._T._Z.XDC.D.N</t>
  </si>
  <si>
    <t>Construction ConfidenceIndicator</t>
  </si>
  <si>
    <t>Consumers ConfidenceIndicator</t>
  </si>
  <si>
    <t>Industry ConfidenceIndicator</t>
  </si>
  <si>
    <t>Services ConfidenceIndicator</t>
  </si>
  <si>
    <t xml:space="preserve">Retail trade confidence indicator </t>
  </si>
  <si>
    <t>GDP(output, expenditure and income)</t>
  </si>
  <si>
    <t>HousePriceIndex</t>
  </si>
  <si>
    <t>INVS</t>
  </si>
  <si>
    <t>ServicesConfidenceIndicator</t>
  </si>
  <si>
    <t xml:space="preserve">Retailtrade confidence indicator </t>
  </si>
  <si>
    <t>Industrial Production Index, Total business economy except financial and insurance activities,</t>
  </si>
  <si>
    <t>STS.M.V5.N.PROD.NS0001.4.000</t>
  </si>
  <si>
    <t>STS.M.V5.Y.PROD.NS0001.4.000</t>
  </si>
  <si>
    <t>Nominal EER-12/Euro</t>
  </si>
  <si>
    <t>EXR.Q.E01.EUR.EN00.A</t>
  </si>
  <si>
    <t>PPI deflated EER-12/Euro</t>
  </si>
  <si>
    <t>EXR.Q.E01.EUR.ERP0.A</t>
  </si>
  <si>
    <t>ULCT deflated EER-12/Euro</t>
  </si>
  <si>
    <t>EXR.Q.E01.EUR.ERU1.A</t>
  </si>
  <si>
    <t>Nominal EER-18/Euro</t>
  </si>
  <si>
    <t>EXR.Q.E02.EUR.EN00.A</t>
  </si>
  <si>
    <t>CPI deflated EER-18/Euro</t>
  </si>
  <si>
    <t>EXR.Q.E02.EUR.ERC0.A</t>
  </si>
  <si>
    <t>GDP deflators deflated EER-18/Euro</t>
  </si>
  <si>
    <t>PPI deflated EER-18/Euro</t>
  </si>
  <si>
    <t>EXR.Q.E02.EUR.ERP0.A</t>
  </si>
  <si>
    <t>ULCT deflated EER-18/Euro</t>
  </si>
  <si>
    <t>Nominal EER-41/Euro</t>
  </si>
  <si>
    <t>EXR.Q.E03.EUR.EN00.A</t>
  </si>
  <si>
    <t>CPI deflated EER-41/Euro</t>
  </si>
  <si>
    <t>EXR.Q.E03.EUR.ERC0.A</t>
  </si>
  <si>
    <t>ULCM deflated EER-18/Euro</t>
  </si>
  <si>
    <t>EXR.Q.E02.EUR.ERU0.A</t>
  </si>
  <si>
    <t xml:space="preserve">Bank interest rates - overnight deposits - euro area </t>
  </si>
  <si>
    <t>MIR.M.U2.B.L21.A.R.A.2230.EUR.N</t>
  </si>
  <si>
    <t xml:space="preserve">Bank interest rates - overnight deposits from corporations - euro area </t>
  </si>
  <si>
    <t xml:space="preserve">Bank interest rates - overnight deposits from households - euro area </t>
  </si>
  <si>
    <t xml:space="preserve">Bank business volumes - deposits with an agreed maturity (new business) - euro area </t>
  </si>
  <si>
    <t>MIR.M.U2.B.L22.A.B.A.2230.EUR.N</t>
  </si>
  <si>
    <t xml:space="preserve">Bank business volumes - deposits from corporations with an agreed maturity (new business) - euro area </t>
  </si>
  <si>
    <t>MIR.M.U2.B.L22.A.B.A.2240.EUR.N</t>
  </si>
  <si>
    <t xml:space="preserve">Bank business volumes - deposits from households with an agreed maturity (new business) - euro area </t>
  </si>
  <si>
    <t>MIR.M.U2.B.L22.A.B.A.2250.EUR.N</t>
  </si>
  <si>
    <t xml:space="preserve">Bank interest rates - deposits with an agreed maturity (new business) - euro area </t>
  </si>
  <si>
    <t>MIR.M.U2.B.L22.A.R.A.2230.EUR.N</t>
  </si>
  <si>
    <t xml:space="preserve">Bank interest rates - deposits with an agreed maturity (on outstanding amounts) - euro area </t>
  </si>
  <si>
    <t>MIR.M.U2.B.L22.A.R.A.2230.EUR.O</t>
  </si>
  <si>
    <t xml:space="preserve">Bank interest rates - deposits from corporations with an agreed maturity (new business) - euro area </t>
  </si>
  <si>
    <t xml:space="preserve">Bank interest rates - deposits from corporations with an agreed maturity (on outstanding amounts) - euro area </t>
  </si>
  <si>
    <t>MIR.M.U2.B.L22.A.R.A.2240.EUR.O</t>
  </si>
  <si>
    <t xml:space="preserve">Bank interest rates - deposits from households with an agreed maturity (new business) - euro area </t>
  </si>
  <si>
    <t xml:space="preserve">Bank interest rates - deposits from households with an agreed maturity (on outstanding amounts) - euro area </t>
  </si>
  <si>
    <t>MIR.M.U2.B.L22.A.R.A.2250.EUR.O</t>
  </si>
  <si>
    <t xml:space="preserve">Bank interest rates - deposits redeemable at notice - euro area </t>
  </si>
  <si>
    <t>MIR.M.U2.B.L23.A.R.A.2250.EUR.N</t>
  </si>
  <si>
    <t>MIR.M.U2.B.L24.A.B.A.2230.EUR.N</t>
  </si>
  <si>
    <t xml:space="preserve">Bank interest rates - repurchase agreements (new business) - euro area </t>
  </si>
  <si>
    <t>MIR.M.U2.B.L24.A.R.A.2230.EUR.N</t>
  </si>
  <si>
    <t xml:space="preserve">Bank interest rates - repurchase agreements (on outstanding amounts) - euro area </t>
  </si>
  <si>
    <t>MIR.M.U2.B.L24.A.R.A.2230.EUR.O</t>
  </si>
  <si>
    <t>Bank interest rates - overnight deposits - Germany</t>
  </si>
  <si>
    <t>MIR.M.DE.B.L21.A.R.A.2230.EUR.N</t>
  </si>
  <si>
    <t>Bank interest rates - overnight deposits from corporations - Germany</t>
  </si>
  <si>
    <t>MIR.M.DE.B.L21.A.R.A.2240.EUR.N</t>
  </si>
  <si>
    <t>Bank interest rates - overnight deposits from households - Germany</t>
  </si>
  <si>
    <t>MIR.M.DE.B.L21.A.R.A.2250.EUR.N</t>
  </si>
  <si>
    <t>Bank business volumes - deposits from corporations with an agreed maturity (new business) - Germany</t>
  </si>
  <si>
    <t>MIR.M.DE.B.L22.A.B.A.2240.EUR.N</t>
  </si>
  <si>
    <t>Bank business volumes - deposits from households with an agreed maturity (new business) - Germany</t>
  </si>
  <si>
    <t>MIR.M.DE.B.L22.A.B.A.2250.EUR.N</t>
  </si>
  <si>
    <t>Bank interest rates - deposits with an agreed maturity (new business) - Germany</t>
  </si>
  <si>
    <t>MIR.M.DE.B.L22.A.R.A.2230.EUR.N</t>
  </si>
  <si>
    <t>Bank interest rates - deposits with an agreed maturity (on outstanding amounts) - Germany</t>
  </si>
  <si>
    <t>MIR.M.DE.B.L22.A.R.A.2230.EUR.O</t>
  </si>
  <si>
    <t>Bank interest rates - deposits from corporations with an agreed maturity (new business) - Germany</t>
  </si>
  <si>
    <t>MIR.M.DE.B.L22.A.R.A.2240.EUR.N</t>
  </si>
  <si>
    <t>Bank interest rates - deposits from corporations with an agreed maturity (on outstanding amounts) - Germany</t>
  </si>
  <si>
    <t>MIR.M.DE.B.L22.A.R.A.2240.EUR.O</t>
  </si>
  <si>
    <t>Bank interest rates - deposits from households with an agreed maturity (new business) - Germany</t>
  </si>
  <si>
    <t>MIR.M.DE.B.L22.A.R.A.2250.EUR.N</t>
  </si>
  <si>
    <t>Bank interest rates - deposits from households with an agreed maturity (on outstanding amounts) - Germany</t>
  </si>
  <si>
    <t>MIR.M.DE.B.L22.A.R.A.2250.EUR.O</t>
  </si>
  <si>
    <t>Bank interest rates - deposits redeemable at notice - Germany</t>
  </si>
  <si>
    <t>MIR.M.DE.B.L23.A.R.A.2250.EUR.N</t>
  </si>
  <si>
    <t>Bank business volumes - repurchase agreements (new business) - Germany</t>
  </si>
  <si>
    <t>MIR.M.DE.B.L24.A.B.A.2230.EUR.N</t>
  </si>
  <si>
    <t>Bank interest rates - repurchase agreements (new business) - Germany</t>
  </si>
  <si>
    <t>MIR.M.DE.B.L24.A.R.A.2230.EUR.N</t>
  </si>
  <si>
    <t>Bank interest rates - repurchase agreements (on outstanding amounts) - Germany</t>
  </si>
  <si>
    <t>MIR.M.DE.B.L24.A.R.A.2230.EUR.O</t>
  </si>
  <si>
    <t>Bank interest rates - overnight deposits - Italy</t>
  </si>
  <si>
    <t>MIR.M.IT.B.L21.A.R.A.2230.EUR.N</t>
  </si>
  <si>
    <t>Bank interest rates - overnight deposits from corporations - Italy</t>
  </si>
  <si>
    <t>MIR.M.IT.B.L21.A.R.A.2240.EUR.N</t>
  </si>
  <si>
    <t>Bank interest rates - overnight deposits from households - Italy</t>
  </si>
  <si>
    <t>MIR.M.IT.B.L21.A.R.A.2250.EUR.N</t>
  </si>
  <si>
    <t>Bank business volumes - deposits from corporations with an agreed maturity (new business) - Italy</t>
  </si>
  <si>
    <t>MIR.M.IT.B.L22.A.B.A.2240.EUR.N</t>
  </si>
  <si>
    <t>Bank business volumes - deposits from households with an agreed maturity (new business) - Italy</t>
  </si>
  <si>
    <t>MIR.M.IT.B.L22.A.B.A.2250.EUR.N</t>
  </si>
  <si>
    <t>Bank interest rates - deposits with an agreed maturity (new business) - Italy</t>
  </si>
  <si>
    <t>MIR.M.IT.B.L22.A.R.A.2230.EUR.N</t>
  </si>
  <si>
    <t>Bank interest rates - deposits with an agreed maturity (on outstanding amounts) - Italy</t>
  </si>
  <si>
    <t>MIR.M.IT.B.L22.A.R.A.2230.EUR.O</t>
  </si>
  <si>
    <t>Bank interest rates - deposits from corporations with an agreed maturity (new business) - Italy</t>
  </si>
  <si>
    <t>MIR.M.IT.B.L22.A.R.A.2240.EUR.N</t>
  </si>
  <si>
    <t>Bank interest rates - deposits from corporations with an agreed maturity (on outstanding amounts) - Italy</t>
  </si>
  <si>
    <t>MIR.M.IT.B.L22.A.R.A.2240.EUR.O</t>
  </si>
  <si>
    <t>Bank interest rates - deposits from households with an agreed maturity (new business) - Italy</t>
  </si>
  <si>
    <t>MIR.M.IT.B.L22.A.R.A.2250.EUR.N</t>
  </si>
  <si>
    <t>Bank interest rates - deposits from households with an agreed maturity (on outstanding amounts) - Italy</t>
  </si>
  <si>
    <t>MIR.M.IT.B.L22.A.R.A.2250.EUR.O</t>
  </si>
  <si>
    <t>Bank interest rates - deposits redeemable at notice - Italy</t>
  </si>
  <si>
    <t>MIR.M.IT.B.L23.A.R.A.2250.EUR.N</t>
  </si>
  <si>
    <t>Bank business volumes - repurchase agreements (new business) - Italy</t>
  </si>
  <si>
    <t>MIR.M.IT.B.L24.A.B.A.2230.EUR.N</t>
  </si>
  <si>
    <t>Bank interest rates - repurchase agreements (new business) - Italy</t>
  </si>
  <si>
    <t>MIR.M.IT.B.L24.A.R.A.2230.EUR.N</t>
  </si>
  <si>
    <t>Bank interest rates - repurchase agreements (on outstanding amounts) - Italy</t>
  </si>
  <si>
    <t>MIR.M.IT.B.L24.A.R.A.2230.EUR.O</t>
  </si>
  <si>
    <t>Cost of borrowing for households for house purchase - Germany</t>
  </si>
  <si>
    <t>MIR.M.DE.B.A2C.AM.R.A.2250.EUR.N</t>
  </si>
  <si>
    <t>Cost of borrowing for corporations - Germany</t>
  </si>
  <si>
    <t>MIR.M.DE.B.A2I.AM.R.A.2240.EUR.N</t>
  </si>
  <si>
    <t>Cost of borrowing for new short-term loans- Germany</t>
  </si>
  <si>
    <t>MIR.M.DE.B.A2J.FM.R.A.2230.EUR.N</t>
  </si>
  <si>
    <t>Cost of borrowing for new long-term loans- Germany</t>
  </si>
  <si>
    <t>MIR.M.DE.B.A2J.KM.R.A.2230.EUR.N</t>
  </si>
  <si>
    <t>Cost of borrowing for households for house purchase - Italy</t>
  </si>
  <si>
    <t>MIR.M.IT.B.A2C.AM.R.A.2250.EUR.N</t>
  </si>
  <si>
    <t>Cost of borrowing for corporations - Italy</t>
  </si>
  <si>
    <t>MIR.M.IT.B.A2I.AM.R.A.2240.EUR.N</t>
  </si>
  <si>
    <t>Cost of borrowing for new short-term loans- Italy</t>
  </si>
  <si>
    <t>MIR.M.IT.B.A2J.FM.R.A.2230.EUR.N</t>
  </si>
  <si>
    <t>Cost of borrowing for new long-term loans- Italy</t>
  </si>
  <si>
    <t>MIR.M.IT.B.A2J.KM.R.A.2230.EUR.N</t>
  </si>
  <si>
    <t>Loans up to 1 year vis-a-vis euro area NFCs reported by MFIs excl. ESCB in Italy (stocks)</t>
  </si>
  <si>
    <t>BSI.M.IT.N.A.A20.F.1.U2.2240.EUR.E</t>
  </si>
  <si>
    <t>Loans up to 1 year vis-a-vis other euro area NFCs reported by MFIs excl. ESCB in Italy (stocks)</t>
  </si>
  <si>
    <t>BSI.M.IT.N.A.A20.F.1.U5.2240.EUR.E</t>
  </si>
  <si>
    <t>Loans up to 1 year vis-a-vis domestic NFCs reported by MFIs excl. ESCB in Italy (stocks)</t>
  </si>
  <si>
    <t>BSI.M.IT.N.A.A20.F.1.U6.2240.EUR.E</t>
  </si>
  <si>
    <t>Loans up to 1 year vis-a-vis euro area NFCs reported by MFIs excl. ESCB in Italy (transactions)</t>
  </si>
  <si>
    <t>BSI.M.IT.N.A.A20.F.4.U2.2240.EUR.E</t>
  </si>
  <si>
    <t>Loans up to 1 year vis-a-vis other euro area NFCs reported by MFIs excl. ESCB in Italy (transactions)</t>
  </si>
  <si>
    <t>BSI.M.IT.N.A.A20.F.4.U5.2240.EUR.E</t>
  </si>
  <si>
    <t>Loans up to 1 year vis-a-vis domestic NFCs reported by MFIs excl. ESCB in Italy (transactions)</t>
  </si>
  <si>
    <t>BSI.M.IT.N.A.A20.F.4.U6.2240.EUR.E</t>
  </si>
  <si>
    <t>Loans over 1 and up to 5 years vis-a-vis euro area NFCs reported by MFIs excl. ESCB in Italy (stocks)</t>
  </si>
  <si>
    <t>BSI.M.IT.N.A.A20.I.1.U2.2240.EUR.E</t>
  </si>
  <si>
    <t>Loans over 1 and up to 5 years vis-a-vis other euro area NFCs reported by MFIs excl. ESCB in Italy (stocks)</t>
  </si>
  <si>
    <t>BSI.M.IT.N.A.A20.I.1.U5.2240.EUR.E</t>
  </si>
  <si>
    <t>Loans over 1 and up to 5 years vis-a-vis domestic NFCs reported by MFIs excl. ESCB in Italy (stocks)</t>
  </si>
  <si>
    <t>BSI.M.IT.N.A.A20.I.1.U6.2240.EUR.E</t>
  </si>
  <si>
    <t>Loans over 1 and up to 5 years vis-a-vis euro area NFCs reported by MFIs excl. ESCB in Italy (transactions)</t>
  </si>
  <si>
    <t>BSI.M.IT.N.A.A20.I.4.U2.2240.EUR.E</t>
  </si>
  <si>
    <t>Loans over 1 and up to 5 years vis-a-vis other euro area NFCs reported by MFIs excl. ESCB in Italy (transactions)</t>
  </si>
  <si>
    <t>BSI.M.IT.N.A.A20.I.4.U5.2240.EUR.E</t>
  </si>
  <si>
    <t>Loans over 1 and up to 5 years vis-a-vis domestic NFCs reported by MFIs excl. ESCB in Italy (transactions)</t>
  </si>
  <si>
    <t>BSI.M.IT.N.A.A20.I.4.U6.2240.EUR.E</t>
  </si>
  <si>
    <t>Loans over 5 years vis-a-vis euro area NFCs reported by MFIs excl. ESCB in Italy (stocks)</t>
  </si>
  <si>
    <t>BSI.M.IT.N.A.A20.J.1.U2.2240.EUR.E</t>
  </si>
  <si>
    <t>Loans over 5 years vis-a-vis other euro area NFCs reported by MFIs excl. ESCB in Italy (stocks)</t>
  </si>
  <si>
    <t>BSI.M.IT.N.A.A20.J.1.U5.2240.EUR.E</t>
  </si>
  <si>
    <t>Loans over 5 years vis-a-vis domestic NFCs reported by MFIs excl. ESCB in Italy (stocks)</t>
  </si>
  <si>
    <t>BSI.M.IT.N.A.A20.J.1.U6.2240.EUR.E</t>
  </si>
  <si>
    <t>Loans over 5 years vis-a-vis euro area NFCs reported by MFIs excl. ESCB in Italy (transactions)</t>
  </si>
  <si>
    <t>BSI.M.IT.N.A.A20.J.4.U2.2240.EUR.E</t>
  </si>
  <si>
    <t>Loans over 5 years vis-a-vis other euro area NFCs reported by MFIs excl. ESCB in Italy (transactions)</t>
  </si>
  <si>
    <t>BSI.M.IT.N.A.A20.J.4.U5.2240.EUR.E</t>
  </si>
  <si>
    <t>Loans over 5 years vis-a-vis domestic NFCs reported by MFIs excl. ESCB in Italy (transactions)</t>
  </si>
  <si>
    <t>BSI.M.IT.N.A.A20.J.4.U6.2240.EUR.E</t>
  </si>
  <si>
    <t>Loans up to 1 year vis-a-vis euro area NFCs reported by MFIs excl. ESCB in the euro area (stocks)</t>
  </si>
  <si>
    <t>BSI.M.U2.N.A.A20.F.1.U2.2240.EUR.E</t>
  </si>
  <si>
    <t>Loans up to 1 year vis-a-vis other euro area NFCs reported by MFIs excl. ESCB in the euro area (stocks)</t>
  </si>
  <si>
    <t>BSI.M.U2.N.A.A20.F.1.U5.2240.EUR.E</t>
  </si>
  <si>
    <t>Loans up to 1 year vis-a-vis domestic NFCs reported by MFIs excl. ESCB in the euro area (stocks)</t>
  </si>
  <si>
    <t>BSI.M.U2.N.A.A20.F.1.U6.2240.EUR.E</t>
  </si>
  <si>
    <t>Loans up to 1 year vis-a-vis euro area NFCs reported by MFIs excl. ESCB in the euro area (transactions)</t>
  </si>
  <si>
    <t>BSI.M.U2.N.A.A20.F.4.U2.2240.EUR.E</t>
  </si>
  <si>
    <t>Loans up to 1 year vis-a-vis other euro area NFCs reported by MFIs excl. ESCB in the euro area (transactions)</t>
  </si>
  <si>
    <t>BSI.M.U2.N.A.A20.F.4.U5.2240.EUR.E</t>
  </si>
  <si>
    <t>Loans up to 1 year vis-a-vis domestic NFCs reported by MFIs excl. ESCB in the euro area (transactions)</t>
  </si>
  <si>
    <t>BSI.M.U2.N.A.A20.F.4.U6.2240.EUR.E</t>
  </si>
  <si>
    <t>Loans over 1 and up to 5 years vis-a-vis euro area NFCs reported by MFIs excl. ESCB in the euro area (stocks)</t>
  </si>
  <si>
    <t>BSI.M.U2.N.A.A20.I.1.U2.2240.EUR.E</t>
  </si>
  <si>
    <t>Loans over 1 and up to 5 years vis-a-vis other euro area NFCs reported by MFIs excl. ESCB in the euro area (stocks)</t>
  </si>
  <si>
    <t>BSI.M.U2.N.A.A20.I.1.U5.2240.EUR.E</t>
  </si>
  <si>
    <t>Loans over 1 and up to 5 years vis-a-vis domestic NFCs reported by MFIs excl. ESCB in the euro area (stocks)</t>
  </si>
  <si>
    <t>BSI.M.U2.N.A.A20.I.1.U6.2240.EUR.E</t>
  </si>
  <si>
    <t>Loans over 1 and up to 5 years vis-a-vis euro area NFCs reported by MFIs excl. ESCB in the euro area (transactions)</t>
  </si>
  <si>
    <t>BSI.M.U2.N.A.A20.I.4.U2.2240.EUR.E</t>
  </si>
  <si>
    <t>Loans over 1 and up to 5 years vis-a-vis other euro area NFCs reported by MFIs excl. ESCB in the euro area (transactions)</t>
  </si>
  <si>
    <t>BSI.M.U2.N.A.A20.I.4.U5.2240.EUR.E</t>
  </si>
  <si>
    <t>Loans over 1 and up to 5 years vis-a-vis domestic NFCs reported by MFIs excl. ESCB in the euro area (transactions)</t>
  </si>
  <si>
    <t>BSI.M.U2.N.A.A20.I.4.U6.2240.EUR.E</t>
  </si>
  <si>
    <t>Loans over 5 years vis-a-vis euro area NFCs reported by MFIs excl. ESCB in the euro area (stocks)</t>
  </si>
  <si>
    <t>BSI.M.U2.N.A.A20.J.1.U2.2240.EUR.E</t>
  </si>
  <si>
    <t>Loans over 5 years vis-a-vis other euro area NFCs reported by MFIs excl. ESCB in the euro area (stocks)</t>
  </si>
  <si>
    <t>BSI.M.U2.N.A.A20.J.1.U5.2240.EUR.E</t>
  </si>
  <si>
    <t>Loans over 5 years vis-a-vis domestic NFCs reported by MFIs excl. ESCB in the euro area (stocks)</t>
  </si>
  <si>
    <t>BSI.M.U2.N.A.A20.J.1.U6.2240.EUR.E</t>
  </si>
  <si>
    <t>Loans over 5 years vis-a-vis euro area NFCs reported by MFIs excl. ESCB in the euro area (transactions)</t>
  </si>
  <si>
    <t>BSI.M.U2.N.A.A20.J.4.U2.2240.EUR.E</t>
  </si>
  <si>
    <t>Loans over 5 years vis-a-vis other euro area NFCs reported by MFIs excl. ESCB in the euro area (transactions)</t>
  </si>
  <si>
    <t>BSI.M.U2.N.A.A20.J.4.U5.2240.EUR.E</t>
  </si>
  <si>
    <t>Loans over 5 years vis-a-vis domestic NFCs reported by MFIs excl. ESCB in the euro area (transactions)</t>
  </si>
  <si>
    <t>BSI.M.U2.N.A.A20.J.4.U6.2240.EUR.E</t>
  </si>
  <si>
    <t>Real 3-month Euribor (Euro Interbank Offered Rate) - Historical close, average of observations through period</t>
  </si>
  <si>
    <t>FM.M.U2.EUR.4F.MM.R_EURIBOR3MD_.HSTA</t>
  </si>
  <si>
    <t>Euribor 1-month - Historical close, average of observations through period</t>
  </si>
  <si>
    <t>Euribor 1-year - Historical close, average of observations through period</t>
  </si>
  <si>
    <t>Euribor 3-month - Historical close, average of observations through period</t>
  </si>
  <si>
    <t>Euribor 6-month - Historical close, average of observations through period</t>
  </si>
  <si>
    <t>FM.Q.U2.EUR.RT.MM.EURIBOR1MD_.HSTA</t>
  </si>
  <si>
    <t>FM.Q.U2.EUR.RT.MM.EURIBOR1YD_.HSTA</t>
  </si>
  <si>
    <t>FM.Q.U2.EUR.RT.MM.EURIBOR3MD_.HSTA</t>
  </si>
  <si>
    <t>FM.Q.U2.EUR.RT.MM.EURIBOR6MD_.HSTA</t>
  </si>
  <si>
    <t>Par yield curve rate, 10-year maturity - GOV bond, nominal, all issuers all ratings included - Euro area (changing composition)</t>
  </si>
  <si>
    <t>Par yield curve rate, 15-year maturity - GOV bond, nominal, all issuers all ratings included - Euro area (changing composition)</t>
  </si>
  <si>
    <t>Par yield curve rate, 1-year maturity - GOV bond, nominal, all issuers all ratings included - Euro area (changing composition)</t>
  </si>
  <si>
    <t>Par yield curve rate, 20-year maturity - GOV bond, nominal, all issuers all ratings included - Euro area (changing composition)</t>
  </si>
  <si>
    <t>Par yield curve rate, 2-year maturity - GOV bond, nominal, all issuers all ratings included - Euro area (changing composition)</t>
  </si>
  <si>
    <t>Par yield curve rate, 3-year maturity - GOV bond, nominal, all issuers all ratings included - Euro area (changing composition)</t>
  </si>
  <si>
    <t>Par yield curve rate, 5-year maturity - GOV bond, nominal, all issuers all ratings included - Euro area (changing composition)</t>
  </si>
  <si>
    <t>Euro Area 10 Years GOV Benchmark Bond - Yield</t>
  </si>
  <si>
    <t>Euro Area 2 Years GOV Benchmark Bond - Yield</t>
  </si>
  <si>
    <t>Euro Area 3 Years GOV Benchmark Bond - Yield</t>
  </si>
  <si>
    <t>Euro Area 5 Years GOV Benchmark Bond - Yield</t>
  </si>
  <si>
    <t>Euro Area 7 Years GOV Benchmark Bond - Yield</t>
  </si>
  <si>
    <t>GOV debt (consolidated)</t>
  </si>
  <si>
    <t>Outstanding amounts of debt securities by Italy General GOV</t>
  </si>
  <si>
    <t>MNA.Q.N.IT.W2.S1.S1.B.B1GQ._Z._Z._Z.EUR.LR.N</t>
  </si>
  <si>
    <t>MNA.Q.Y.IT.W2.S1.S1.B.B1GQ._Z._Z._Z.EUR.LR.N</t>
  </si>
  <si>
    <t>MNA.Q.Y.IT.W2.S1.S1.B.B1GQ._Z._Z._Z.EUR.V.N</t>
  </si>
  <si>
    <t>Private final consumption</t>
  </si>
  <si>
    <t>MNA.Q.N.IT.W0.S1M.S1.D.P31._Z._Z._T.EUR.LR.N</t>
  </si>
  <si>
    <t>MNA.Q.N.IT.W0.S1M.S1.D.P31._Z._Z._T.EUR.V.N</t>
  </si>
  <si>
    <t>GOV final consumption</t>
  </si>
  <si>
    <t>MNA.Q.N.IT.W0.S13.S1.D.P3._Z._Z._T.EUR.LR.N</t>
  </si>
  <si>
    <t>MNA.Q.N.IT.W0.S13.S1.D.P3._Z._Z._T.EUR.V.N</t>
  </si>
  <si>
    <t>MNA.Q.Y.IT.W0.S13.S1.D.P3._Z._Z._T.EUR.LR.N</t>
  </si>
  <si>
    <t>MNA.Q.N.IT.W0.S1.S1.D.P51G.N117G._T._Z.EUR.V.N</t>
  </si>
  <si>
    <t>MNA.Q.N.IT.W0.S1.S1.D.P51G.N11G._T._Z.EUR.LR.N</t>
  </si>
  <si>
    <t>MNA.Q.N.IT.W0.S1.S1.D.P51G.N11G._T._Z.EUR.V.N</t>
  </si>
  <si>
    <t>MNA.Q.N.IT.W0.S1.S1.D.P51G.N11KG._T._Z.EUR.V.N</t>
  </si>
  <si>
    <t>MNA.Q.N.IT.W0.S1.S1.D.P51G.N11MG._T._Z.EUR.V.N</t>
  </si>
  <si>
    <t>MNA.Q.Y.IT.W0.S1.S1.D.P51G.N117G._T._Z.EUR.V.N</t>
  </si>
  <si>
    <t>MNA.Q.Y.IT.W0.S1.S1.D.P51G.N11KG._T._Z.EUR.V.N</t>
  </si>
  <si>
    <t>MNA.Q.Y.IT.W0.S1.S1.D.P51G.N11MG._T._Z.EUR.V.N</t>
  </si>
  <si>
    <t>Changes in inventories and acquisition less disposals of valuables</t>
  </si>
  <si>
    <t>MNA.Q.N.I9.W0.S1.S1.D.P5M.N1MG._T._Z.EUR.V.N</t>
  </si>
  <si>
    <t>Total final domestic demand</t>
  </si>
  <si>
    <t>MNA.Q.N.IT.W0.S1.S1.D.P3T5._Z._Z._Z.EUR.LR.N</t>
  </si>
  <si>
    <t>Domestic demand</t>
  </si>
  <si>
    <t>MNA.Q.N.IT.W1.S1.S1.D.P6._Z._Z._Z.EUR.LR.N</t>
  </si>
  <si>
    <t>MNA.Q.N.IT.W1.S1.S1.D.P6._Z._Z._Z.EUR.V.N</t>
  </si>
  <si>
    <t>MNA.Q.Y.IT.W1.S1.S1.D.P6._Z._Z._Z.EUR.LR.N</t>
  </si>
  <si>
    <t>MNA.Q.N.IT.W1.S1.S1.C.P7._Z._Z._Z.EUR.LR.N</t>
  </si>
  <si>
    <t>MNA.Q.N.IT.W1.S1.S1.C.P7._Z._Z._Z.EUR.V.N</t>
  </si>
  <si>
    <t>MNA.Q.N.I9.W1.S1.S1.B.B11._Z._Z._Z.EUR.V.N</t>
  </si>
  <si>
    <t>MNA.Q.Y.I9.W1.S1.S1.B.B11._Z._Z._Z.EUR.V.N</t>
  </si>
  <si>
    <t>LabProdHours_Value_EU27</t>
  </si>
  <si>
    <t>LabProdHours_Index_EU27</t>
  </si>
  <si>
    <t>LabProdPersons_Value_EU27</t>
  </si>
  <si>
    <t>LabProdPersons_Index_EU27</t>
  </si>
  <si>
    <t>LabProdHours_Index_IT</t>
  </si>
  <si>
    <t>LabProdHours_Value_IT</t>
  </si>
  <si>
    <t>LabProdPersons_Index_IT</t>
  </si>
  <si>
    <t>LabProdPersons_Value_IT</t>
  </si>
  <si>
    <t>UnitLabourCostHours_Value_EU27</t>
  </si>
  <si>
    <t>UnitLabourCostPersons_Value_EU27</t>
  </si>
  <si>
    <t>UnitLabourCostHours_Index_IT</t>
  </si>
  <si>
    <t>UnitLabourCostHours_Value_IT</t>
  </si>
  <si>
    <t>UnitLabourCostPersons_Index_IT</t>
  </si>
  <si>
    <t>UnitLabourCostPersons_Value_IT</t>
  </si>
  <si>
    <t>Unemployement_Percent_EU27</t>
  </si>
  <si>
    <t>Unemployement_Percent_IT</t>
  </si>
  <si>
    <t>UnitLabourCostHours_Index_EU27</t>
  </si>
  <si>
    <t>CostBorrowingHousePurchase_percent_EU27</t>
  </si>
  <si>
    <t>CostBorrowingCorporations_percent_EU27</t>
  </si>
  <si>
    <t>CostBorrowingNewShortTermLoans_percent_EU27</t>
  </si>
  <si>
    <t>CostBorrowingNewLongTermLoans_percent_EU27</t>
  </si>
  <si>
    <t>ParYieldCurve10YearGov_percent_EU27</t>
  </si>
  <si>
    <t>ParYieldCurve15YearGov_percent_EU27</t>
  </si>
  <si>
    <t>ParYieldCurve1YearGov_percent_EU27</t>
  </si>
  <si>
    <t>ParYieldCurve20YearGov_percent_EU27</t>
  </si>
  <si>
    <t>ParYieldCurve2YearGov_percent_EU27</t>
  </si>
  <si>
    <t>ParYieldCurve3YearGov_percent_EU27</t>
  </si>
  <si>
    <t>ParYieldCurve5YearGov_percent_EU27</t>
  </si>
  <si>
    <t>GovBenchmarkBondYield10Y_percent_EU27</t>
  </si>
  <si>
    <t>GovBenchmarkBondYield2Y_percent_EU27</t>
  </si>
  <si>
    <t>GovBenchmarkBondYield3Y_percent_EU27</t>
  </si>
  <si>
    <t>GovBenchmarkBondYield5Y_percent_EU27</t>
  </si>
  <si>
    <t>GovBenchmarkBondYield7Y_percent_EU27</t>
  </si>
  <si>
    <t>EUROSTOXX50_Value_EU27</t>
  </si>
  <si>
    <t>EUROSTOXX_Value_EU27</t>
  </si>
  <si>
    <t>EUROSTOXXBASICMATERIALSEURO_Value_EU27</t>
  </si>
  <si>
    <t>EUROSTOXXCONSDISCRE_Value_EU27</t>
  </si>
  <si>
    <t>EUROSTOXXTECHNOLOGYE_Value_EU27</t>
  </si>
  <si>
    <t>EUROSTOXXHEALTHCAREE_Value_EU27</t>
  </si>
  <si>
    <t>EUROSTOXXINDUSTRIALSE_Value_EU27</t>
  </si>
  <si>
    <t>EUROSTOXXENERGYEURO_Value_EU27</t>
  </si>
  <si>
    <t>EUROSTOXXTELECOME_Value_EU27</t>
  </si>
  <si>
    <t>EUROSTOXXUTILITIESEURO_Value_EU27</t>
  </si>
  <si>
    <t>GOVDebtConsolidated_Value_IT</t>
  </si>
  <si>
    <t>GOVDebtConsolidated_EA20_Value_EA20</t>
  </si>
  <si>
    <t>NEWCISSCompositeIndicatorSystemicStress_CN_Pure number_CN</t>
  </si>
  <si>
    <t>NEWCISSCompositeIndicatorSystemicStress_Pure number_IT</t>
  </si>
  <si>
    <t>CISSCompositeIndicatorSystemicStress_US_Pure number_US</t>
  </si>
  <si>
    <t>CompositeIndicatorSovereignStressSovCISSItaly_Pure number_IT</t>
  </si>
  <si>
    <t>CountryLevelFinancialStressCLIFSItaly_Pure number_IT</t>
  </si>
  <si>
    <t>GrowthNewLoansNonFinancial_Percent_IT</t>
  </si>
  <si>
    <t>MFIsLendingMarginsNewLoansNonFinancial_percent_IT</t>
  </si>
  <si>
    <t>MFIsLendingMarginsLoansHousePurchas_percent_IT</t>
  </si>
  <si>
    <t>MFIsLendingMarginsLoansNonFinancia_percent_IT</t>
  </si>
  <si>
    <t>MFIsLendingMarginsOutstandingLoanNonFinancial_percent_IT</t>
  </si>
  <si>
    <t>ShareVariableLoanomsinancialCorporationsItaly_Percent_IT</t>
  </si>
  <si>
    <t>ShareVariableLoansLoansHousePurchaseItaly_Percent_IT</t>
  </si>
  <si>
    <t>ShareLoansFixationPeriodResidualMaturityNextInterestResetNextOneYearLoansHouseholdsItaly_Percent_IT</t>
  </si>
  <si>
    <t>ShareLoansFixationPeriodResidualMaturityNextInterestResetNextOneYearLoansNonFinancialCorporationsItaly_Percent_IT</t>
  </si>
  <si>
    <t>DebtOutstandingNonFinancialCorporations_Value_IT</t>
  </si>
  <si>
    <t>DebtOutstandingFinancialCorporations_Value_IT</t>
  </si>
  <si>
    <t>DebtOutstandingGeneralGOV_Value_IT</t>
  </si>
  <si>
    <t>DebtOutstanding_Value_IT</t>
  </si>
  <si>
    <t>IPI_EU27</t>
  </si>
  <si>
    <t>IPI_EU27_INDEX_SCA</t>
  </si>
  <si>
    <t>EURIBOR_3M_REAL</t>
  </si>
  <si>
    <t>EURIBOR_1Y</t>
  </si>
  <si>
    <t>GOVDebtConsolidated_Value_IT_CP</t>
  </si>
  <si>
    <t>GOVDebtConsolidated_EA20_Value_EA20_CP</t>
  </si>
  <si>
    <t>DebtOutstandingNonFinancialCorporations_Value_IT_CP</t>
  </si>
  <si>
    <t>DebtOutstandingFinancialCorporations_Value_IT_CP</t>
  </si>
  <si>
    <t>DebtOutstandingGeneralGOV_Value_IT_CP</t>
  </si>
  <si>
    <t>DebtOutstanding_Value_IT_CP</t>
  </si>
  <si>
    <t>GDP_Value_IT_CP</t>
  </si>
  <si>
    <t>GDP_Value_IT</t>
  </si>
  <si>
    <t>GDP_Value_IT_CP_SCA</t>
  </si>
  <si>
    <t>GDP_Value_IT_SCA</t>
  </si>
  <si>
    <t>PRIVATE_CONSUMPTION_VALUE_IT_CP</t>
  </si>
  <si>
    <t>PRIVATE_CONSUMPTION_VALUE_IT</t>
  </si>
  <si>
    <t>PRIVATE_CONSUMPTION_VALUE_IT_CP_SCA</t>
  </si>
  <si>
    <t>PRIVATE_CONSUMPTION_VALUE_IT_SCA</t>
  </si>
  <si>
    <t>GOV_CONSUMPTION_VALUE_IT_CP</t>
  </si>
  <si>
    <t>GOV_CONSUMPTION_VALUE_IT</t>
  </si>
  <si>
    <t>GOV_CONSUMPTION_VALUE_IT_CP_SCA</t>
  </si>
  <si>
    <t>GOV_CONSUMPTION_VALUE_IT_SCA</t>
  </si>
  <si>
    <t xml:space="preserve">Gross fixed capital formation </t>
  </si>
  <si>
    <t>Gross_FIXED_CAPITAL_FORMATION_N117G_VALUE_IT</t>
  </si>
  <si>
    <t>Gross_FIXED_CAPITAL_FORMATION_VALUE_IT_CP</t>
  </si>
  <si>
    <t>Gross_FIXED_CAPITAL_FORMATION_VALUE_IT</t>
  </si>
  <si>
    <t>Gross_FIXED_CAPITAL_FORMATION_N11KG_VALUE_IT</t>
  </si>
  <si>
    <t>Gross_FIXED_CAPITAL_FORMATION_N11MG_VALUE_IT_SCA</t>
  </si>
  <si>
    <t>Gross_FIXED_CAPITAL_FORMATION_N117G_VALUE_IT_SCA</t>
  </si>
  <si>
    <t>Gross_FIXED_CAPITAL_FORMATION_VALUE_IT_CP_SCA</t>
  </si>
  <si>
    <t>Gross_FIXED_CAPITAL_FORMATION_VALUE_IT_SCA</t>
  </si>
  <si>
    <t>Gross_FIXED_CAPITAL_FORMATION_N11KG_VALUE_IT_SCA</t>
  </si>
  <si>
    <t>NET_INVENTORIES_CHANGE_VALUE_IT</t>
  </si>
  <si>
    <t>NET_INVENTORIES_CHANGE_VALUE_IT_SCA</t>
  </si>
  <si>
    <t>TOTAL_FINAL_DOMESTIC_DEMAND_VALUE_IT</t>
  </si>
  <si>
    <t>DOMESTIC_DEMAND_VALUE_IT</t>
  </si>
  <si>
    <t>TOTAL_FINAL_DOMESTIC_DEMAND_VALUE_IT_CP_SCA</t>
  </si>
  <si>
    <t>DOMESTIC_DEMAND_VALUE_IT_SCA</t>
  </si>
  <si>
    <t>EXPORTS_VALUE_IT_CP</t>
  </si>
  <si>
    <t>EXPORTS_VALUE_IT</t>
  </si>
  <si>
    <t>EXPORTS_VALUE_IT_CP_SCA</t>
  </si>
  <si>
    <t>EXPORTS_VALUE_IT_SCA</t>
  </si>
  <si>
    <t>IMPORTS_VALUE_IT_CP</t>
  </si>
  <si>
    <t>IMPORTS_VALUE_IT</t>
  </si>
  <si>
    <t>IMPORTS_VALUE_IT_CP_SCA</t>
  </si>
  <si>
    <t>IMPORTS_VALUE_IT_SCA</t>
  </si>
  <si>
    <t>EXTERNAL_BALANCE_GOODS_SERVICES_VALUE_IT_SCA</t>
  </si>
  <si>
    <t>EXTERNAL_BALANCE_GOODS_SERVICES_VALUE_IT</t>
  </si>
  <si>
    <t>MNA.A.N.B6.W2.S1.S1.D.D1._Z._T._Z.EUR.V.N</t>
  </si>
  <si>
    <t>Compensation per employee</t>
  </si>
  <si>
    <t>MNA.Q.Y.B6.W2.S1.S1._Z.COM_PS._Z._T._Z.IX.V.N</t>
  </si>
  <si>
    <t>MNA.Q.Y.IT.W2.S1.S1._Z.COM_PS._Z._T._Z.IX.V.N</t>
  </si>
  <si>
    <t>EMPLOYEES_COMPENSATION_VALUE_EU27</t>
  </si>
  <si>
    <t>EMPLOYEES_COMPENSATION_VALUE_IT</t>
  </si>
  <si>
    <t>EMPLOYEES_COMPENSATION_INDEX_ITT</t>
  </si>
  <si>
    <t>EMPLOYEES_COMPENSATION_INDEX_EU27</t>
  </si>
  <si>
    <t>Financial account, Reserve Assets, Assets, Italy, Quarterly</t>
  </si>
  <si>
    <t>LOANS_VALUE_IT</t>
  </si>
  <si>
    <t>Loans vis-a-vis euro area NFCs reported by MFIs excl. ESCB in Italy (stocks), Italy, Monthly</t>
  </si>
  <si>
    <t>Loans vis-a-vis euro area NFCs reported by MFIs excl. ESCB in the euro area (stocks), Euro area (changing composition), Monthly</t>
  </si>
  <si>
    <t>Gross domestic product at market prices, Italy, Quarterly</t>
  </si>
  <si>
    <t>Monetary aggregate M3 reported by MFIs, central gov. and post office giro institutions in the euro area (stocks), Euro area (changing composition), Monthly</t>
  </si>
  <si>
    <t>Industrial production; total excluding construction , Euro area 20 (fixed composition), Monthly</t>
  </si>
  <si>
    <t>Industrial production; total including construction , Euro area 20 (fixed composition), Monthly</t>
  </si>
  <si>
    <t>Retail trade turnover, deflated, total including fuel, except of motor vehicles and motorcycles, Euro area 20 (fixed composition), Monthly</t>
  </si>
  <si>
    <t>Retail trade turnover, deflated, automotive fuel , Euro area 20 (fixed composition), Monthly</t>
  </si>
  <si>
    <t>Current account, Balance, Italy, Quarterly</t>
  </si>
  <si>
    <t>Capital account, Balance, Italy, Quarterly</t>
  </si>
  <si>
    <t>Financial account, All functional categories, Net, Italy, Quarterly</t>
  </si>
  <si>
    <t>Gross domestic product at market prices, Italy, Quarterly Defllator Index</t>
  </si>
  <si>
    <t>Wages and salaries, Italy, Quarterly</t>
  </si>
  <si>
    <t>RESERVES_VALUE_IT</t>
  </si>
  <si>
    <t>FINANCIAL_ACCOUNTS_VALUE_IT</t>
  </si>
  <si>
    <t>CAPITAL_ACCOUNT_VALUE_IT</t>
  </si>
  <si>
    <t>CURRENT_ACCOUNT_VALUE_IT</t>
  </si>
  <si>
    <t>AUTOMOTIVE_TURNOVER_INDEX_EU20</t>
  </si>
  <si>
    <t>RETAIL_TURNOVER_INDEX_EU20</t>
  </si>
  <si>
    <t>INDUSTRIAL_PRODUCTION_CONSTR_INDEX_EU20_SCA</t>
  </si>
  <si>
    <t>INDUSTRIAL_PRODUCTION_INDEX_EU20_SCA</t>
  </si>
  <si>
    <t>LOANS_VALUE_EU20</t>
  </si>
  <si>
    <t>M3_VALUE_EU20</t>
  </si>
  <si>
    <t>GDP_DEFLA_INDEX_IT</t>
  </si>
  <si>
    <t>GDP_DEFLA_INDEX_IT_SCA</t>
  </si>
  <si>
    <t>EER_PPI_DEFLATED_EU12</t>
  </si>
  <si>
    <t>EER_ULCT_DEFLATED_EU12</t>
  </si>
  <si>
    <t>EER_NOMINAL_EU18</t>
  </si>
  <si>
    <t>EER_CPI_DEFLATED_EU18</t>
  </si>
  <si>
    <t>EER_GDPDEFLATOR_DEFLATED_EU18</t>
  </si>
  <si>
    <t>EER_PPI_DEFLATED_EU18</t>
  </si>
  <si>
    <t>EER_ULCM_DEFLATED_EU18</t>
  </si>
  <si>
    <t>EER_ULCT_DEFLATED_EU18</t>
  </si>
  <si>
    <t>EER_NOMINAL_EU41</t>
  </si>
  <si>
    <t>EER_CPI_DEFLATED_EU41</t>
  </si>
  <si>
    <t>EER_NOMINAL_EU12</t>
  </si>
  <si>
    <t>BANK_IR_OVERNIGHT_DEPO_EU</t>
  </si>
  <si>
    <t>BANK_IR_OVERNIGHT_DEPO_CORP_EU</t>
  </si>
  <si>
    <t>BANK_IR_OVERNIGHT_DEPO_HOUSEHOLDS_EU</t>
  </si>
  <si>
    <t>BANK_NEW_TIMEDEPO_EU</t>
  </si>
  <si>
    <t>BANK_NEW_TIMEDEPO_CORP_EU</t>
  </si>
  <si>
    <t>BANK_NEW_TIMEDEPO_HOUSEHOLDS_EU</t>
  </si>
  <si>
    <t>BANK_IR_NEW_TIMEDEPO_EU</t>
  </si>
  <si>
    <t>BANK_IR_NEW_TIMEDEPO_CORP_EU</t>
  </si>
  <si>
    <t>BANK_IR_NEW_TIMEDEPO_HOUSEHOLDS_EU</t>
  </si>
  <si>
    <t>BANK_IR_TIMEDEPO_CORP_EU</t>
  </si>
  <si>
    <t>BANK_IR_TIMEDEPO_HOUSEHOLDS_EU</t>
  </si>
  <si>
    <t>BANK_IR_TIMEDEPO_EU</t>
  </si>
  <si>
    <t xml:space="preserve">BANK_IR_REEDIMABLE_DEPO_EU </t>
  </si>
  <si>
    <t>BANK_NEW_REPO_EU</t>
  </si>
  <si>
    <t>BANK_IR_NEW_REPO_EU</t>
  </si>
  <si>
    <t>BANK_IR_REPO_EU</t>
  </si>
  <si>
    <t>BANK_IR_OVERNIGHT_DEPO_DE</t>
  </si>
  <si>
    <t>BANK_IR_OVERNIGHT_DEPO_CORP_DE</t>
  </si>
  <si>
    <t>BANK_IR_OVERNIGHT_DEPO_HOUSEHOLDS_DE</t>
  </si>
  <si>
    <t>BANK_NEW_TIMEDEPO_CORP_DE</t>
  </si>
  <si>
    <t>BANK_NEW_TIMEDEPO_HOUSEHOLDS_DE</t>
  </si>
  <si>
    <t>BANK_IR_NEW_TIMEDEPO_DE</t>
  </si>
  <si>
    <t>BANK_IR_TIMEDEPO_DE</t>
  </si>
  <si>
    <t>BANK_IR_NEW_TIMEDEPO_CORP_DE</t>
  </si>
  <si>
    <t>BANK_IR_TIMEDEPO_CORP_DE</t>
  </si>
  <si>
    <t>BANK_IR_NEW_TIMEDEPO_HOUSEHOLDS_DE</t>
  </si>
  <si>
    <t>BANK_IR_TIMEDEPO_HOUSEHOLDS_DE</t>
  </si>
  <si>
    <t>BANK_IR_REEDIMABLE_DEPO_DE</t>
  </si>
  <si>
    <t>BANK_NEW_REPO_DE</t>
  </si>
  <si>
    <t>BANK_IR_NEW_REPO_DE</t>
  </si>
  <si>
    <t>BANK_IR_REPO_DE</t>
  </si>
  <si>
    <t>BANK_IR_OVERNIGHT_DEPO_IT</t>
  </si>
  <si>
    <t>BANK_IR_OVERNIGHT_DEPO_CORP_IT</t>
  </si>
  <si>
    <t>BANK_IR_OVERNIGHT_DEPO_HOUSEHOLDS_IT</t>
  </si>
  <si>
    <t>BANK_NEW_TIMEDEPO_CORP_IT</t>
  </si>
  <si>
    <t>BANK_NEW_TIMEDEPO_HOUSEHOLDS_IT</t>
  </si>
  <si>
    <t>BANK_IR_NEW_TIMEDEPO_IT</t>
  </si>
  <si>
    <t>BANK_IR_TIMEDEPO_IT</t>
  </si>
  <si>
    <t>BANK_IR_NEW_TIMEDEPO_CORP_IT</t>
  </si>
  <si>
    <t>BANK_IR_TIMEDEPO_CORP_IT</t>
  </si>
  <si>
    <t>BANK_IR_NEW_TIMEDEPO_HOUSEHOLDS_IT</t>
  </si>
  <si>
    <t>BANK_IR_TIMEDEPO_HOUSEHOLDS_IT</t>
  </si>
  <si>
    <t>BANK_IR_REEDIMABLE_DEPO_IT</t>
  </si>
  <si>
    <t>BANK_NEW_REPO_IT</t>
  </si>
  <si>
    <t>BANK_IR_NEW_REPO_IT</t>
  </si>
  <si>
    <t>BANK_IR_REPO_IT</t>
  </si>
  <si>
    <t>BORROWING_IR_HOUSE_PURCHASE_EU</t>
  </si>
  <si>
    <t>BORROWING_IR_CORP_EU</t>
  </si>
  <si>
    <t>BORROWING_IR_NEW_SHORT_TERM_EU</t>
  </si>
  <si>
    <t>BORROWING_IR_NEW_LONG_TERM_EU</t>
  </si>
  <si>
    <t>BORROWING_IR_HOUSE_PURCHASE_DE</t>
  </si>
  <si>
    <t>BORROWING_IR_CORP_DE</t>
  </si>
  <si>
    <t>BORROWING_IR_NEW_SHORT_TERM_DE</t>
  </si>
  <si>
    <t>BORROWING_IR_NEW_LONG_TERM_DE</t>
  </si>
  <si>
    <t>BORROWING_IR_HOUSE_PURCHASE_IT</t>
  </si>
  <si>
    <t>BORROWING_IR_CORP_IT</t>
  </si>
  <si>
    <t>BORROWING_IR_NEW_SHORT_TERM_IT</t>
  </si>
  <si>
    <t>BORROWING_IR_NEW_LONG_TERM_IT</t>
  </si>
  <si>
    <t>LOANS_1Y_EURO_IT</t>
  </si>
  <si>
    <t>LOANS_1Y_OTHER_IT</t>
  </si>
  <si>
    <t>LOANS_1Y_IT</t>
  </si>
  <si>
    <t>LOANS_FLOW_1Y_EURO_IT</t>
  </si>
  <si>
    <t>LOANS_1_5Y_EURO_IT</t>
  </si>
  <si>
    <t>LOANS_1_5Y_OTHER_IT</t>
  </si>
  <si>
    <t>LOANS_1_5Y_IT</t>
  </si>
  <si>
    <t>LOANS_FLOW_1_5Y_EURO_IT</t>
  </si>
  <si>
    <t>LOANS_FLOW_1_5Y_IT</t>
  </si>
  <si>
    <t>LOANS_PLUS5Y_EURO_IT</t>
  </si>
  <si>
    <t>LOANS_PLUS5Y_OTHER_IT</t>
  </si>
  <si>
    <t>LOANS_PLUS5Y_IT</t>
  </si>
  <si>
    <t>LOANS_FLOW_PLUS5Y_EURO_IT</t>
  </si>
  <si>
    <t>LOANS_FLOW_PLUS5Y_IT</t>
  </si>
  <si>
    <t>LOANS_FLOW_1Y_OTHER_IT</t>
  </si>
  <si>
    <t>LOANS_FLOW_1Y_IT</t>
  </si>
  <si>
    <t>LOANS_FLOW_1_5Y_OTHER_IT</t>
  </si>
  <si>
    <t>LOANS_FLOW_PLUS5Y_OTHER_IT</t>
  </si>
  <si>
    <t>LOANS_1Y_EURO_EU</t>
  </si>
  <si>
    <t>LOANS_1Y_OTHER_EU</t>
  </si>
  <si>
    <t>LOANS_1Y_EU</t>
  </si>
  <si>
    <t>LOANS_FLOW_1Y_EURO_EU</t>
  </si>
  <si>
    <t>LOANS_FLOW_1Y_OTHER_EU</t>
  </si>
  <si>
    <t>LOANS_FLOW_1Y_EU</t>
  </si>
  <si>
    <t>LOANS_FLOW_PLUS5Y_EU</t>
  </si>
  <si>
    <t>LOANS_FLOW_PLUS5Y_OTHER_EU</t>
  </si>
  <si>
    <t>LOANS_PLUS5Y_EURO_EU</t>
  </si>
  <si>
    <t>LOANS_PLUS5Y_OTHER_EU</t>
  </si>
  <si>
    <t>LOANS_FLOW_1_5Y_EU</t>
  </si>
  <si>
    <t>LOANS_FLOW_1_5Y_OTHER_EU</t>
  </si>
  <si>
    <t>LOANS_1_5Y_EURO_EU</t>
  </si>
  <si>
    <t>LOANS_1_5Y_OTHER_EU</t>
  </si>
  <si>
    <t>Government debt (consolidated), Italy, Quarterly</t>
  </si>
  <si>
    <t>Government debt (consolidated), Euro area 20 (fixed composition), Quarterly</t>
  </si>
  <si>
    <t>Bank interest rates - loans to households for house purchase (new business) - Italy, Italy, Monthly</t>
  </si>
  <si>
    <t>IR_CORPORATE_IT</t>
  </si>
  <si>
    <t>Bank interest rates - loans to households for house purchase (new business) - euro area , Euro area (changing composition), Monthly</t>
  </si>
  <si>
    <t>Bank interest rates - loans to corporations (new business) - euro area , Euro area (changing composition), Monthly</t>
  </si>
  <si>
    <t>IR_CORPORATE_EU</t>
  </si>
  <si>
    <t>IR_HOUSE_IT</t>
  </si>
  <si>
    <t>IR_HOUSE_EU</t>
  </si>
  <si>
    <t>IR_CONSUMPTION_IT</t>
  </si>
  <si>
    <t>Bank interest rates - loans to corporations (new business) - Italy, Italy, Monthly</t>
  </si>
  <si>
    <t>Bank interest rates - loans to households for consumption (new business) - Italy, Italy, Monthly</t>
  </si>
  <si>
    <t>Bank interest rates - loans to households for consumption (new business) - euro area , Euro area (changing composition), Monthly</t>
  </si>
  <si>
    <t>Bank interest rates - overnight deposits from corporations - euro area , Euro area (changing composition), Monthly</t>
  </si>
  <si>
    <t>Bank interest rates - overnight deposits from households - euro area , Euro area (changing composition), Monthly</t>
  </si>
  <si>
    <t>Bank interest rates - deposits from corporations with an agreed maturity (new business) - euro area , Euro area (changing composition), Monthly</t>
  </si>
  <si>
    <t>Bank interest rates - deposits from households with an agreed maturity (new business) - euro area , Euro area (changing composition), Monthly</t>
  </si>
  <si>
    <t>Main refinancing operations - fixed rate tenders (fixed rate) (date of changes) - Level, Euro area (changing composition), Daily - businessweek</t>
  </si>
  <si>
    <t>Deposit facility - date of changes (raw data) - Level, Euro area (changing composition), Daily - businessweek</t>
  </si>
  <si>
    <t>Marginal lending facility - date of changes (raw data) - Level, Euro area (changing composition), Daily - businessweek</t>
  </si>
  <si>
    <t>UK pound sterling/Euro, Monthly</t>
  </si>
  <si>
    <t>US dollar/Euro, Monthly</t>
  </si>
  <si>
    <t>IPI</t>
  </si>
  <si>
    <t>Financial Market</t>
  </si>
  <si>
    <t>EQUITY</t>
  </si>
  <si>
    <t>Stress and Risk</t>
  </si>
  <si>
    <t>Loans and Deposits</t>
  </si>
  <si>
    <t>Bank business volumes - repurchase agreements (new business) - euro area</t>
  </si>
  <si>
    <t>ECB_LINK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</si>
</sst>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/>
  </cellStyleXfs>
  <cellXfs count="6">
    <xf numFmtId="0" fontId="0" fillId="0" borderId="0" xfId="0"/>
    <xf numFmtId="0" fontId="1" fillId="0" borderId="0" xfId="0" applyFont="1"/>
    <xf numFmtId="0" fontId="8" fillId="0" borderId="0" xfId="0" applyFont="1"/>
    <xf numFmtId="0" fontId="5" fillId="0" borderId="0" xfId="0" applyFont="1" applyAlignment="1">
      <alignment horizontal="center" vertical="top"/>
    </xf>
    <xf numFmtId="0" fontId="6" fillId="0" borderId="0" xfId="2" applyFont="1" applyFill="1" applyBorder="1"/>
    <xf numFmtId="0" fontId="7" fillId="0" borderId="0" xfId="1" applyFont="1"/>
  </cellXfs>
  <cellStyles count="4">
    <cellStyle name="Collegamento ipertestuale" xfId="2" builtinId="8"/>
    <cellStyle name="Normale" xfId="0" builtinId="0"/>
    <cellStyle name="Normale 2" xfId="1" xr:uid="{D3B938B2-0756-41AD-8DF4-BF9F04E95668}"/>
    <cellStyle name="Normale 2 2" xfId="3" xr:uid="{92EA62F9-72DE-4E26-A76C-897F8B58F828}"/>
  </cellStyles>
  <dxfs count="0"/>
  <tableStyles count="1" defaultTableStyle="TableStyleMedium2" defaultPivotStyle="PivotStyleLight16">
    <tableStyle name="Invisible" pivot="0" table="0" count="0" xr9:uid="{C6E78149-FEDA-44A3-8850-59B526351A4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CEB6-3C00-436A-A5DE-5F00553300AC}">
  <dimension ref="A1:J307"/>
  <sheetViews>
    <sheetView zoomScale="83" zoomScaleNormal="83" workbookViewId="0">
      <selection sqref="A1:XFD1"/>
    </sheetView>
  </sheetViews>
  <sheetFormatPr defaultColWidth="6.28515625" defaultRowHeight="12.75" x14ac:dyDescent="0.2"/>
  <cols>
    <col min="1" max="1" width="15.85546875" style="1" bestFit="1" customWidth="1"/>
    <col min="2" max="2" width="8.5703125" style="1" customWidth="1"/>
    <col min="3" max="3" width="6.28515625" style="1"/>
    <col min="4" max="4" width="11" style="1" customWidth="1"/>
    <col min="5" max="5" width="28.42578125" style="1" customWidth="1"/>
    <col min="6" max="6" width="105.85546875" style="1" bestFit="1" customWidth="1"/>
    <col min="7" max="7" width="28.42578125" style="1" customWidth="1"/>
    <col min="8" max="8" width="11.5703125" style="1" customWidth="1"/>
    <col min="9" max="11" width="28.42578125" style="1" customWidth="1"/>
    <col min="12" max="16384" width="6.28515625" style="1"/>
  </cols>
  <sheetData>
    <row r="1" spans="1:10" s="2" customFormat="1" x14ac:dyDescent="0.2">
      <c r="A1" s="3" t="s">
        <v>0</v>
      </c>
      <c r="B1" s="2" t="s">
        <v>2013</v>
      </c>
      <c r="C1" s="2" t="s">
        <v>1941</v>
      </c>
      <c r="D1" s="2" t="s">
        <v>1942</v>
      </c>
      <c r="E1" s="3" t="s">
        <v>5</v>
      </c>
      <c r="F1" s="3" t="s">
        <v>2010</v>
      </c>
      <c r="G1" s="3" t="s">
        <v>2011</v>
      </c>
      <c r="H1" s="2" t="s">
        <v>2012</v>
      </c>
      <c r="I1" s="2" t="s">
        <v>1862</v>
      </c>
      <c r="J1" s="3" t="s">
        <v>2665</v>
      </c>
    </row>
    <row r="2" spans="1:10" x14ac:dyDescent="0.2">
      <c r="A2" s="1" t="s">
        <v>2009</v>
      </c>
      <c r="B2" s="1">
        <v>1</v>
      </c>
      <c r="C2" s="1">
        <v>0</v>
      </c>
      <c r="D2" s="1" t="s">
        <v>102</v>
      </c>
      <c r="E2" s="1" t="s">
        <v>2017</v>
      </c>
      <c r="F2" s="1" t="s">
        <v>2390</v>
      </c>
      <c r="G2" s="1" t="s">
        <v>2018</v>
      </c>
      <c r="H2" s="1" t="str">
        <f t="shared" ref="H2:H52" si="0">LEFT(G2,FIND(".",G2)-1)</f>
        <v>MNA</v>
      </c>
      <c r="I2" s="1" t="str">
        <f t="shared" ref="I2" si="1">RIGHT(G2,LEN(G2)-FIND(".",G2))</f>
        <v>Q.N.B6.W0.S1.S1._Z.LPR_HW._Z._T._Z.EUR.LR.N</v>
      </c>
      <c r="J2" s="4" t="str">
        <f t="shared" ref="J2:J52" si="2">+HYPERLINK("https://data.ecb.europa.eu/data/datasets/"&amp;H2&amp;"/"&amp;G2,G2)</f>
        <v>MNA.Q.N.B6.W0.S1.S1._Z.LPR_HW._Z._T._Z.EUR.LR.N</v>
      </c>
    </row>
    <row r="3" spans="1:10" x14ac:dyDescent="0.2">
      <c r="A3" s="1" t="s">
        <v>2009</v>
      </c>
      <c r="B3" s="1">
        <v>1</v>
      </c>
      <c r="C3" s="1">
        <v>0</v>
      </c>
      <c r="D3" s="1" t="s">
        <v>102</v>
      </c>
      <c r="E3" s="1" t="s">
        <v>2017</v>
      </c>
      <c r="F3" s="1" t="s">
        <v>2391</v>
      </c>
      <c r="G3" s="1" t="s">
        <v>2019</v>
      </c>
      <c r="H3" s="1" t="str">
        <f t="shared" si="0"/>
        <v>MNA</v>
      </c>
      <c r="I3" s="1" t="str">
        <f t="shared" ref="I3:I53" si="3">RIGHT(G3,LEN(G3)-FIND(".",G3))</f>
        <v>Q.N.B6.W0.S1.S1._Z.LPR_HW._Z._T._Z.IX.LR.N</v>
      </c>
      <c r="J3" s="4" t="str">
        <f t="shared" si="2"/>
        <v>MNA.Q.N.B6.W0.S1.S1._Z.LPR_HW._Z._T._Z.IX.LR.N</v>
      </c>
    </row>
    <row r="4" spans="1:10" x14ac:dyDescent="0.2">
      <c r="A4" s="1" t="s">
        <v>2009</v>
      </c>
      <c r="B4" s="1">
        <v>1</v>
      </c>
      <c r="C4" s="1">
        <v>0</v>
      </c>
      <c r="D4" s="1" t="s">
        <v>102</v>
      </c>
      <c r="E4" s="1" t="s">
        <v>2017</v>
      </c>
      <c r="F4" s="1" t="s">
        <v>2394</v>
      </c>
      <c r="G4" s="1" t="s">
        <v>2027</v>
      </c>
      <c r="H4" s="1" t="str">
        <f t="shared" si="0"/>
        <v>MNA</v>
      </c>
      <c r="I4" s="1" t="str">
        <f t="shared" si="3"/>
        <v>Q.N.IT.W0.S1.S1._Z.LPR_HW._Z._T._Z.IX.LR.N</v>
      </c>
      <c r="J4" s="4" t="str">
        <f t="shared" si="2"/>
        <v>MNA.Q.N.IT.W0.S1.S1._Z.LPR_HW._Z._T._Z.IX.LR.N</v>
      </c>
    </row>
    <row r="5" spans="1:10" x14ac:dyDescent="0.2">
      <c r="A5" s="1" t="s">
        <v>2009</v>
      </c>
      <c r="B5" s="1">
        <v>1</v>
      </c>
      <c r="C5" s="1">
        <v>0</v>
      </c>
      <c r="D5" s="1" t="s">
        <v>102</v>
      </c>
      <c r="E5" s="1" t="s">
        <v>2017</v>
      </c>
      <c r="F5" s="1" t="s">
        <v>2395</v>
      </c>
      <c r="G5" s="1" t="s">
        <v>2028</v>
      </c>
      <c r="H5" s="1" t="str">
        <f t="shared" si="0"/>
        <v>MNA</v>
      </c>
      <c r="I5" s="1" t="str">
        <f t="shared" si="3"/>
        <v>Q.N.IT.W0.S1.S1._Z.LPR_HW._Z._T._Z.XDC.LR.N</v>
      </c>
      <c r="J5" s="4" t="str">
        <f t="shared" si="2"/>
        <v>MNA.Q.N.IT.W0.S1.S1._Z.LPR_HW._Z._T._Z.XDC.LR.N</v>
      </c>
    </row>
    <row r="6" spans="1:10" x14ac:dyDescent="0.2">
      <c r="A6" s="1" t="s">
        <v>2009</v>
      </c>
      <c r="B6" s="1">
        <v>1</v>
      </c>
      <c r="C6" s="1">
        <v>0</v>
      </c>
      <c r="D6" s="1" t="s">
        <v>102</v>
      </c>
      <c r="E6" s="1" t="s">
        <v>2017</v>
      </c>
      <c r="F6" s="1" t="s">
        <v>2390</v>
      </c>
      <c r="G6" s="1" t="s">
        <v>2023</v>
      </c>
      <c r="H6" s="1" t="str">
        <f t="shared" si="0"/>
        <v>MNA</v>
      </c>
      <c r="I6" s="1" t="str">
        <f t="shared" si="3"/>
        <v>Q.Y.B6.W0.S1.S1._Z.LPR_HW._Z._T._Z.EUR.LR.N</v>
      </c>
      <c r="J6" s="4" t="str">
        <f t="shared" si="2"/>
        <v>MNA.Q.Y.B6.W0.S1.S1._Z.LPR_HW._Z._T._Z.EUR.LR.N</v>
      </c>
    </row>
    <row r="7" spans="1:10" x14ac:dyDescent="0.2">
      <c r="A7" s="1" t="s">
        <v>2009</v>
      </c>
      <c r="B7" s="1">
        <v>1</v>
      </c>
      <c r="C7" s="1">
        <v>0</v>
      </c>
      <c r="D7" s="1" t="s">
        <v>102</v>
      </c>
      <c r="E7" s="1" t="s">
        <v>2017</v>
      </c>
      <c r="F7" s="1" t="s">
        <v>2391</v>
      </c>
      <c r="G7" s="1" t="s">
        <v>2024</v>
      </c>
      <c r="H7" s="1" t="str">
        <f t="shared" si="0"/>
        <v>MNA</v>
      </c>
      <c r="I7" s="1" t="str">
        <f t="shared" si="3"/>
        <v>Q.Y.B6.W0.S1.S1._Z.LPR_HW._Z._T._Z.IX.LR.N</v>
      </c>
      <c r="J7" s="4" t="str">
        <f t="shared" si="2"/>
        <v>MNA.Q.Y.B6.W0.S1.S1._Z.LPR_HW._Z._T._Z.IX.LR.N</v>
      </c>
    </row>
    <row r="8" spans="1:10" x14ac:dyDescent="0.2">
      <c r="A8" s="1" t="s">
        <v>2009</v>
      </c>
      <c r="B8" s="1">
        <v>1</v>
      </c>
      <c r="C8" s="1">
        <v>0</v>
      </c>
      <c r="D8" s="1" t="s">
        <v>102</v>
      </c>
      <c r="E8" s="1" t="s">
        <v>2017</v>
      </c>
      <c r="F8" s="1" t="s">
        <v>2394</v>
      </c>
      <c r="G8" s="1" t="s">
        <v>2030</v>
      </c>
      <c r="H8" s="1" t="str">
        <f t="shared" si="0"/>
        <v>MNA</v>
      </c>
      <c r="I8" s="1" t="str">
        <f t="shared" si="3"/>
        <v>Q.Y.IT.W0.S1.S1._Z.LPR_HW._Z._T._Z.IX.LR.N</v>
      </c>
      <c r="J8" s="4" t="str">
        <f t="shared" si="2"/>
        <v>MNA.Q.Y.IT.W0.S1.S1._Z.LPR_HW._Z._T._Z.IX.LR.N</v>
      </c>
    </row>
    <row r="9" spans="1:10" x14ac:dyDescent="0.2">
      <c r="A9" s="1" t="s">
        <v>2009</v>
      </c>
      <c r="B9" s="1">
        <v>1</v>
      </c>
      <c r="C9" s="1">
        <v>0</v>
      </c>
      <c r="D9" s="1" t="s">
        <v>102</v>
      </c>
      <c r="E9" s="1" t="s">
        <v>2017</v>
      </c>
      <c r="F9" s="1" t="s">
        <v>2395</v>
      </c>
      <c r="G9" s="1" t="s">
        <v>2031</v>
      </c>
      <c r="H9" s="1" t="str">
        <f t="shared" si="0"/>
        <v>MNA</v>
      </c>
      <c r="I9" s="1" t="str">
        <f t="shared" si="3"/>
        <v>Q.Y.IT.W0.S1.S1._Z.LPR_HW._Z._T._Z.XDC.LR.N</v>
      </c>
      <c r="J9" s="4" t="str">
        <f t="shared" si="2"/>
        <v>MNA.Q.Y.IT.W0.S1.S1._Z.LPR_HW._Z._T._Z.XDC.LR.N</v>
      </c>
    </row>
    <row r="10" spans="1:10" x14ac:dyDescent="0.2">
      <c r="A10" s="1" t="s">
        <v>2009</v>
      </c>
      <c r="B10" s="1">
        <v>1</v>
      </c>
      <c r="C10" s="1">
        <v>0</v>
      </c>
      <c r="D10" s="1" t="s">
        <v>102</v>
      </c>
      <c r="E10" s="1" t="s">
        <v>2020</v>
      </c>
      <c r="F10" s="1" t="s">
        <v>2392</v>
      </c>
      <c r="G10" s="1" t="s">
        <v>2021</v>
      </c>
      <c r="H10" s="1" t="str">
        <f t="shared" si="0"/>
        <v>MNA</v>
      </c>
      <c r="I10" s="1" t="str">
        <f t="shared" si="3"/>
        <v>Q.N.B6.W0.S1.S1._Z.LPR_PS._Z._T._Z.EUR.LR.N</v>
      </c>
      <c r="J10" s="4" t="str">
        <f t="shared" si="2"/>
        <v>MNA.Q.N.B6.W0.S1.S1._Z.LPR_PS._Z._T._Z.EUR.LR.N</v>
      </c>
    </row>
    <row r="11" spans="1:10" x14ac:dyDescent="0.2">
      <c r="A11" s="1" t="s">
        <v>2009</v>
      </c>
      <c r="B11" s="1">
        <v>1</v>
      </c>
      <c r="C11" s="1">
        <v>0</v>
      </c>
      <c r="D11" s="1" t="s">
        <v>102</v>
      </c>
      <c r="E11" s="1" t="s">
        <v>2020</v>
      </c>
      <c r="F11" s="1" t="s">
        <v>2393</v>
      </c>
      <c r="G11" s="1" t="s">
        <v>2022</v>
      </c>
      <c r="H11" s="1" t="str">
        <f t="shared" si="0"/>
        <v>MNA</v>
      </c>
      <c r="I11" s="1" t="str">
        <f t="shared" si="3"/>
        <v>Q.N.B6.W0.S1.S1._Z.LPR_PS._Z._T._Z.IX.LR.N</v>
      </c>
      <c r="J11" s="4" t="str">
        <f t="shared" si="2"/>
        <v>MNA.Q.N.B6.W0.S1.S1._Z.LPR_PS._Z._T._Z.IX.LR.N</v>
      </c>
    </row>
    <row r="12" spans="1:10" x14ac:dyDescent="0.2">
      <c r="A12" s="1" t="s">
        <v>2009</v>
      </c>
      <c r="B12" s="1">
        <v>1</v>
      </c>
      <c r="C12" s="1">
        <v>0</v>
      </c>
      <c r="D12" s="1" t="s">
        <v>102</v>
      </c>
      <c r="E12" s="1" t="s">
        <v>2020</v>
      </c>
      <c r="F12" s="1" t="s">
        <v>2396</v>
      </c>
      <c r="G12" s="1" t="s">
        <v>2029</v>
      </c>
      <c r="H12" s="1" t="str">
        <f t="shared" si="0"/>
        <v>MNA</v>
      </c>
      <c r="I12" s="1" t="str">
        <f t="shared" si="3"/>
        <v>Q.N.IT.W0.S1.S1._Z.LPR_PS._Z._T._Z.IX.LR.N</v>
      </c>
      <c r="J12" s="4" t="str">
        <f t="shared" si="2"/>
        <v>MNA.Q.N.IT.W0.S1.S1._Z.LPR_PS._Z._T._Z.IX.LR.N</v>
      </c>
    </row>
    <row r="13" spans="1:10" x14ac:dyDescent="0.2">
      <c r="A13" s="1" t="s">
        <v>2009</v>
      </c>
      <c r="B13" s="1">
        <v>1</v>
      </c>
      <c r="C13" s="1">
        <v>0</v>
      </c>
      <c r="D13" s="1" t="s">
        <v>102</v>
      </c>
      <c r="E13" s="1" t="s">
        <v>2020</v>
      </c>
      <c r="F13" s="1" t="s">
        <v>2397</v>
      </c>
      <c r="G13" s="1" t="s">
        <v>2016</v>
      </c>
      <c r="H13" s="1" t="str">
        <f t="shared" si="0"/>
        <v>MNA</v>
      </c>
      <c r="I13" s="1" t="str">
        <f t="shared" si="3"/>
        <v>Q.N.IT.W0.S1.S1._Z.LPR_PS._Z._T._Z.XDC.LR.N</v>
      </c>
      <c r="J13" s="4" t="str">
        <f t="shared" si="2"/>
        <v>MNA.Q.N.IT.W0.S1.S1._Z.LPR_PS._Z._T._Z.XDC.LR.N</v>
      </c>
    </row>
    <row r="14" spans="1:10" x14ac:dyDescent="0.2">
      <c r="A14" s="1" t="s">
        <v>2009</v>
      </c>
      <c r="B14" s="1">
        <v>1</v>
      </c>
      <c r="C14" s="1">
        <v>0</v>
      </c>
      <c r="D14" s="1" t="s">
        <v>102</v>
      </c>
      <c r="E14" s="1" t="s">
        <v>2020</v>
      </c>
      <c r="F14" s="1" t="s">
        <v>2392</v>
      </c>
      <c r="G14" s="1" t="s">
        <v>2025</v>
      </c>
      <c r="H14" s="1" t="str">
        <f t="shared" si="0"/>
        <v>MNA</v>
      </c>
      <c r="I14" s="1" t="str">
        <f t="shared" si="3"/>
        <v>Q.Y.B6.W0.S1.S1._Z.LPR_PS._Z._T._Z.EUR.LR.N</v>
      </c>
      <c r="J14" s="4" t="str">
        <f t="shared" si="2"/>
        <v>MNA.Q.Y.B6.W0.S1.S1._Z.LPR_PS._Z._T._Z.EUR.LR.N</v>
      </c>
    </row>
    <row r="15" spans="1:10" x14ac:dyDescent="0.2">
      <c r="A15" s="1" t="s">
        <v>2009</v>
      </c>
      <c r="B15" s="1">
        <v>1</v>
      </c>
      <c r="C15" s="1">
        <v>0</v>
      </c>
      <c r="D15" s="1" t="s">
        <v>102</v>
      </c>
      <c r="E15" s="1" t="s">
        <v>2020</v>
      </c>
      <c r="F15" s="1" t="s">
        <v>2393</v>
      </c>
      <c r="G15" s="1" t="s">
        <v>2026</v>
      </c>
      <c r="H15" s="1" t="str">
        <f t="shared" si="0"/>
        <v>MNA</v>
      </c>
      <c r="I15" s="1" t="str">
        <f t="shared" si="3"/>
        <v>Q.Y.B6.W0.S1.S1._Z.LPR_PS._Z._T._Z.IX.LR.N</v>
      </c>
      <c r="J15" s="4" t="str">
        <f t="shared" si="2"/>
        <v>MNA.Q.Y.B6.W0.S1.S1._Z.LPR_PS._Z._T._Z.IX.LR.N</v>
      </c>
    </row>
    <row r="16" spans="1:10" x14ac:dyDescent="0.2">
      <c r="A16" s="1" t="s">
        <v>2009</v>
      </c>
      <c r="B16" s="1">
        <v>1</v>
      </c>
      <c r="C16" s="1">
        <v>0</v>
      </c>
      <c r="D16" s="1" t="s">
        <v>102</v>
      </c>
      <c r="E16" s="1" t="s">
        <v>2020</v>
      </c>
      <c r="F16" s="1" t="s">
        <v>2396</v>
      </c>
      <c r="G16" s="1" t="s">
        <v>2032</v>
      </c>
      <c r="H16" s="1" t="str">
        <f t="shared" si="0"/>
        <v>MNA</v>
      </c>
      <c r="I16" s="1" t="str">
        <f t="shared" si="3"/>
        <v>Q.Y.IT.W0.S1.S1._Z.LPR_PS._Z._T._Z.IX.LR.N</v>
      </c>
      <c r="J16" s="4" t="str">
        <f t="shared" si="2"/>
        <v>MNA.Q.Y.IT.W0.S1.S1._Z.LPR_PS._Z._T._Z.IX.LR.N</v>
      </c>
    </row>
    <row r="17" spans="1:10" x14ac:dyDescent="0.2">
      <c r="A17" s="1" t="s">
        <v>2009</v>
      </c>
      <c r="B17" s="1">
        <v>1</v>
      </c>
      <c r="C17" s="1">
        <v>0</v>
      </c>
      <c r="D17" s="1" t="s">
        <v>102</v>
      </c>
      <c r="E17" s="1" t="s">
        <v>2020</v>
      </c>
      <c r="F17" s="1" t="s">
        <v>2397</v>
      </c>
      <c r="G17" s="1" t="s">
        <v>2033</v>
      </c>
      <c r="H17" s="1" t="str">
        <f t="shared" si="0"/>
        <v>MNA</v>
      </c>
      <c r="I17" s="1" t="str">
        <f t="shared" si="3"/>
        <v>Q.Y.IT.W0.S1.S1._Z.LPR_PS._Z._T._Z.XDC.LR.N</v>
      </c>
      <c r="J17" s="4" t="str">
        <f t="shared" si="2"/>
        <v>MNA.Q.Y.IT.W0.S1.S1._Z.LPR_PS._Z._T._Z.XDC.LR.N</v>
      </c>
    </row>
    <row r="18" spans="1:10" x14ac:dyDescent="0.2">
      <c r="A18" s="1" t="s">
        <v>2009</v>
      </c>
      <c r="B18" s="1">
        <v>1</v>
      </c>
      <c r="C18" s="1">
        <v>0</v>
      </c>
      <c r="D18" s="1" t="s">
        <v>102</v>
      </c>
      <c r="E18" s="1" t="s">
        <v>2079</v>
      </c>
      <c r="F18" s="1" t="s">
        <v>2398</v>
      </c>
      <c r="G18" s="1" t="s">
        <v>2080</v>
      </c>
      <c r="H18" s="1" t="str">
        <f t="shared" si="0"/>
        <v>MNA</v>
      </c>
      <c r="I18" s="1" t="str">
        <f t="shared" si="3"/>
        <v>Q.N.B6.W2.S1.S1._Z.ULC_HW._Z._T._Z.EUR.D.N</v>
      </c>
      <c r="J18" s="4" t="str">
        <f t="shared" si="2"/>
        <v>MNA.Q.N.B6.W2.S1.S1._Z.ULC_HW._Z._T._Z.EUR.D.N</v>
      </c>
    </row>
    <row r="19" spans="1:10" x14ac:dyDescent="0.2">
      <c r="A19" s="1" t="s">
        <v>2009</v>
      </c>
      <c r="B19" s="1">
        <v>1</v>
      </c>
      <c r="C19" s="1">
        <v>0</v>
      </c>
      <c r="D19" s="1" t="s">
        <v>102</v>
      </c>
      <c r="E19" s="1" t="s">
        <v>2079</v>
      </c>
      <c r="F19" s="1" t="s">
        <v>2400</v>
      </c>
      <c r="G19" s="1" t="s">
        <v>2083</v>
      </c>
      <c r="H19" s="1" t="str">
        <f t="shared" si="0"/>
        <v>MNA</v>
      </c>
      <c r="I19" s="1" t="str">
        <f t="shared" si="3"/>
        <v>Q.N.IT.W2.S1.S1._Z.ULC_HW._Z._T._Z.IX.D.N</v>
      </c>
      <c r="J19" s="4" t="str">
        <f t="shared" si="2"/>
        <v>MNA.Q.N.IT.W2.S1.S1._Z.ULC_HW._Z._T._Z.IX.D.N</v>
      </c>
    </row>
    <row r="20" spans="1:10" x14ac:dyDescent="0.2">
      <c r="A20" s="1" t="s">
        <v>2009</v>
      </c>
      <c r="B20" s="1">
        <v>1</v>
      </c>
      <c r="C20" s="1">
        <v>0</v>
      </c>
      <c r="D20" s="1" t="s">
        <v>102</v>
      </c>
      <c r="E20" s="1" t="s">
        <v>2079</v>
      </c>
      <c r="F20" s="1" t="s">
        <v>2401</v>
      </c>
      <c r="G20" s="1" t="s">
        <v>2084</v>
      </c>
      <c r="H20" s="1" t="str">
        <f t="shared" si="0"/>
        <v>MNA</v>
      </c>
      <c r="I20" s="1" t="str">
        <f t="shared" si="3"/>
        <v>Q.N.IT.W2.S1.S1._Z.ULC_HW._Z._T._Z.XDC.D.N</v>
      </c>
      <c r="J20" s="4" t="str">
        <f t="shared" si="2"/>
        <v>MNA.Q.N.IT.W2.S1.S1._Z.ULC_HW._Z._T._Z.XDC.D.N</v>
      </c>
    </row>
    <row r="21" spans="1:10" x14ac:dyDescent="0.2">
      <c r="A21" s="1" t="s">
        <v>2009</v>
      </c>
      <c r="B21" s="1">
        <v>1</v>
      </c>
      <c r="C21" s="1">
        <v>0</v>
      </c>
      <c r="D21" s="1" t="s">
        <v>102</v>
      </c>
      <c r="E21" s="1" t="s">
        <v>2079</v>
      </c>
      <c r="F21" s="1" t="s">
        <v>2398</v>
      </c>
      <c r="G21" s="1" t="s">
        <v>2087</v>
      </c>
      <c r="H21" s="1" t="str">
        <f t="shared" si="0"/>
        <v>MNA</v>
      </c>
      <c r="I21" s="1" t="str">
        <f t="shared" si="3"/>
        <v>Q.Y.B6.W2.S1.S1._Z.ULC_HW._Z._T._Z.EUR.D.N</v>
      </c>
      <c r="J21" s="4" t="str">
        <f t="shared" si="2"/>
        <v>MNA.Q.Y.B6.W2.S1.S1._Z.ULC_HW._Z._T._Z.EUR.D.N</v>
      </c>
    </row>
    <row r="22" spans="1:10" x14ac:dyDescent="0.2">
      <c r="A22" s="1" t="s">
        <v>2009</v>
      </c>
      <c r="B22" s="1">
        <v>1</v>
      </c>
      <c r="C22" s="1">
        <v>0</v>
      </c>
      <c r="D22" s="1" t="s">
        <v>102</v>
      </c>
      <c r="E22" s="1" t="s">
        <v>2079</v>
      </c>
      <c r="F22" s="1" t="s">
        <v>2406</v>
      </c>
      <c r="G22" s="1" t="s">
        <v>2088</v>
      </c>
      <c r="H22" s="1" t="str">
        <f t="shared" si="0"/>
        <v>MNA</v>
      </c>
      <c r="I22" s="1" t="str">
        <f t="shared" si="3"/>
        <v>Q.Y.B6.W2.S1.S1._Z.ULC_HW._Z._T._Z.IX.D.N</v>
      </c>
      <c r="J22" s="4" t="str">
        <f t="shared" si="2"/>
        <v>MNA.Q.Y.B6.W2.S1.S1._Z.ULC_HW._Z._T._Z.IX.D.N</v>
      </c>
    </row>
    <row r="23" spans="1:10" x14ac:dyDescent="0.2">
      <c r="A23" s="1" t="s">
        <v>2009</v>
      </c>
      <c r="B23" s="1">
        <v>1</v>
      </c>
      <c r="C23" s="1">
        <v>0</v>
      </c>
      <c r="D23" s="1" t="s">
        <v>102</v>
      </c>
      <c r="E23" s="1" t="s">
        <v>2079</v>
      </c>
      <c r="F23" s="1" t="s">
        <v>2401</v>
      </c>
      <c r="G23" s="1" t="s">
        <v>2127</v>
      </c>
      <c r="H23" s="1" t="str">
        <f t="shared" si="0"/>
        <v>MNA</v>
      </c>
      <c r="I23" s="1" t="str">
        <f t="shared" si="3"/>
        <v>Q.Y.IT.W2.S1.S1._Z.ULC_HW._Z._T._Z.XDC.D.N</v>
      </c>
      <c r="J23" s="4" t="str">
        <f t="shared" si="2"/>
        <v>MNA.Q.Y.IT.W2.S1.S1._Z.ULC_HW._Z._T._Z.XDC.D.N</v>
      </c>
    </row>
    <row r="24" spans="1:10" x14ac:dyDescent="0.2">
      <c r="A24" s="1" t="s">
        <v>2009</v>
      </c>
      <c r="B24" s="1">
        <v>1</v>
      </c>
      <c r="C24" s="1">
        <v>0</v>
      </c>
      <c r="D24" s="1" t="s">
        <v>102</v>
      </c>
      <c r="E24" s="1" t="s">
        <v>2081</v>
      </c>
      <c r="F24" s="1" t="s">
        <v>2399</v>
      </c>
      <c r="G24" s="1" t="s">
        <v>2082</v>
      </c>
      <c r="H24" s="1" t="str">
        <f t="shared" si="0"/>
        <v>MNA</v>
      </c>
      <c r="I24" s="1" t="str">
        <f t="shared" si="3"/>
        <v>Q.N.B6.W2.S1.S1._Z.ULC_PS._Z._T._Z.EUR.D.N</v>
      </c>
      <c r="J24" s="4" t="str">
        <f t="shared" si="2"/>
        <v>MNA.Q.N.B6.W2.S1.S1._Z.ULC_PS._Z._T._Z.EUR.D.N</v>
      </c>
    </row>
    <row r="25" spans="1:10" x14ac:dyDescent="0.2">
      <c r="A25" s="1" t="s">
        <v>2009</v>
      </c>
      <c r="B25" s="1">
        <v>1</v>
      </c>
      <c r="C25" s="1">
        <v>0</v>
      </c>
      <c r="D25" s="1" t="s">
        <v>102</v>
      </c>
      <c r="E25" s="1" t="s">
        <v>2081</v>
      </c>
      <c r="F25" s="1" t="s">
        <v>2402</v>
      </c>
      <c r="G25" s="1" t="s">
        <v>2085</v>
      </c>
      <c r="H25" s="1" t="str">
        <f t="shared" si="0"/>
        <v>MNA</v>
      </c>
      <c r="I25" s="1" t="str">
        <f t="shared" si="3"/>
        <v>Q.N.IT.W2.S1.S1._Z.ULC_PS._Z._T._Z.IX.D.N</v>
      </c>
      <c r="J25" s="4" t="str">
        <f t="shared" si="2"/>
        <v>MNA.Q.N.IT.W2.S1.S1._Z.ULC_PS._Z._T._Z.IX.D.N</v>
      </c>
    </row>
    <row r="26" spans="1:10" x14ac:dyDescent="0.2">
      <c r="A26" s="1" t="s">
        <v>2009</v>
      </c>
      <c r="B26" s="1">
        <v>1</v>
      </c>
      <c r="C26" s="1">
        <v>0</v>
      </c>
      <c r="D26" s="1" t="s">
        <v>102</v>
      </c>
      <c r="E26" s="1" t="s">
        <v>2081</v>
      </c>
      <c r="F26" s="1" t="s">
        <v>2403</v>
      </c>
      <c r="G26" s="1" t="s">
        <v>2086</v>
      </c>
      <c r="H26" s="1" t="str">
        <f t="shared" si="0"/>
        <v>MNA</v>
      </c>
      <c r="I26" s="1" t="str">
        <f t="shared" si="3"/>
        <v>Q.N.IT.W2.S1.S1._Z.ULC_PS._Z._T._Z.XDC.D.N</v>
      </c>
      <c r="J26" s="4" t="str">
        <f t="shared" si="2"/>
        <v>MNA.Q.N.IT.W2.S1.S1._Z.ULC_PS._Z._T._Z.XDC.D.N</v>
      </c>
    </row>
    <row r="27" spans="1:10" x14ac:dyDescent="0.2">
      <c r="A27" s="1" t="s">
        <v>2009</v>
      </c>
      <c r="B27" s="1">
        <v>1</v>
      </c>
      <c r="C27" s="1">
        <v>0</v>
      </c>
      <c r="D27" s="1" t="s">
        <v>102</v>
      </c>
      <c r="E27" s="1" t="s">
        <v>2081</v>
      </c>
      <c r="F27" s="1" t="s">
        <v>2399</v>
      </c>
      <c r="G27" s="1" t="s">
        <v>2089</v>
      </c>
      <c r="H27" s="1" t="str">
        <f t="shared" si="0"/>
        <v>MNA</v>
      </c>
      <c r="I27" s="1" t="str">
        <f t="shared" si="3"/>
        <v>Q.Y.B6.W2.S1.S1._Z.ULC_PS._Z._T._Z.EUR.D.N</v>
      </c>
      <c r="J27" s="4" t="str">
        <f t="shared" si="2"/>
        <v>MNA.Q.Y.B6.W2.S1.S1._Z.ULC_PS._Z._T._Z.EUR.D.N</v>
      </c>
    </row>
    <row r="28" spans="1:10" x14ac:dyDescent="0.2">
      <c r="A28" s="1" t="s">
        <v>2009</v>
      </c>
      <c r="B28" s="1">
        <v>1</v>
      </c>
      <c r="C28" s="1">
        <v>0</v>
      </c>
      <c r="D28" s="1" t="s">
        <v>102</v>
      </c>
      <c r="E28" s="1" t="s">
        <v>2034</v>
      </c>
      <c r="F28" s="1" t="s">
        <v>2407</v>
      </c>
      <c r="G28" s="1" t="s">
        <v>2035</v>
      </c>
      <c r="H28" s="1" t="str">
        <f t="shared" si="0"/>
        <v>MIR</v>
      </c>
      <c r="I28" s="1" t="str">
        <f t="shared" si="3"/>
        <v>M.U2.B.A2C.AM.R.A.2250.EUR.N</v>
      </c>
      <c r="J28" s="4" t="str">
        <f t="shared" si="2"/>
        <v>MIR.M.U2.B.A2C.AM.R.A.2250.EUR.N</v>
      </c>
    </row>
    <row r="29" spans="1:10" x14ac:dyDescent="0.2">
      <c r="A29" s="1" t="s">
        <v>2009</v>
      </c>
      <c r="B29" s="1">
        <v>1</v>
      </c>
      <c r="C29" s="1">
        <v>0</v>
      </c>
      <c r="D29" s="1" t="s">
        <v>102</v>
      </c>
      <c r="E29" s="1" t="s">
        <v>2036</v>
      </c>
      <c r="F29" s="1" t="s">
        <v>2408</v>
      </c>
      <c r="G29" s="1" t="s">
        <v>2037</v>
      </c>
      <c r="H29" s="1" t="str">
        <f t="shared" si="0"/>
        <v>MIR</v>
      </c>
      <c r="I29" s="1" t="str">
        <f t="shared" si="3"/>
        <v>M.U2.B.A2I.AM.R.A.2240.EUR.N</v>
      </c>
      <c r="J29" s="4" t="str">
        <f t="shared" si="2"/>
        <v>MIR.M.U2.B.A2I.AM.R.A.2240.EUR.N</v>
      </c>
    </row>
    <row r="30" spans="1:10" x14ac:dyDescent="0.2">
      <c r="A30" s="1" t="s">
        <v>2009</v>
      </c>
      <c r="B30" s="1">
        <v>1</v>
      </c>
      <c r="C30" s="1">
        <v>0</v>
      </c>
      <c r="D30" s="1" t="s">
        <v>102</v>
      </c>
      <c r="E30" s="1" t="s">
        <v>2038</v>
      </c>
      <c r="F30" s="1" t="s">
        <v>2409</v>
      </c>
      <c r="G30" s="1" t="s">
        <v>2039</v>
      </c>
      <c r="H30" s="1" t="str">
        <f t="shared" si="0"/>
        <v>MIR</v>
      </c>
      <c r="I30" s="1" t="str">
        <f t="shared" si="3"/>
        <v>M.U2.B.A2J.FM.R.A.2230.EUR.N</v>
      </c>
      <c r="J30" s="4" t="str">
        <f t="shared" si="2"/>
        <v>MIR.M.U2.B.A2J.FM.R.A.2230.EUR.N</v>
      </c>
    </row>
    <row r="31" spans="1:10" x14ac:dyDescent="0.2">
      <c r="A31" s="1" t="s">
        <v>2009</v>
      </c>
      <c r="B31" s="1">
        <v>1</v>
      </c>
      <c r="C31" s="1">
        <v>0</v>
      </c>
      <c r="D31" s="1" t="s">
        <v>102</v>
      </c>
      <c r="E31" s="1" t="s">
        <v>2040</v>
      </c>
      <c r="F31" s="1" t="s">
        <v>2410</v>
      </c>
      <c r="G31" s="1" t="s">
        <v>2041</v>
      </c>
      <c r="H31" s="1" t="str">
        <f t="shared" si="0"/>
        <v>MIR</v>
      </c>
      <c r="I31" s="1" t="str">
        <f t="shared" si="3"/>
        <v>M.U2.B.A2J.KM.R.A.2230.EUR.N</v>
      </c>
      <c r="J31" s="4" t="str">
        <f t="shared" si="2"/>
        <v>MIR.M.U2.B.A2J.KM.R.A.2230.EUR.N</v>
      </c>
    </row>
    <row r="32" spans="1:10" x14ac:dyDescent="0.2">
      <c r="A32" s="1" t="s">
        <v>2009</v>
      </c>
      <c r="B32" s="1">
        <v>1</v>
      </c>
      <c r="C32" s="1">
        <v>0</v>
      </c>
      <c r="D32" s="1" t="s">
        <v>102</v>
      </c>
      <c r="E32" s="1" t="s">
        <v>2042</v>
      </c>
      <c r="F32" s="1" t="s">
        <v>2404</v>
      </c>
      <c r="G32" s="1" t="s">
        <v>2043</v>
      </c>
      <c r="H32" s="1" t="str">
        <f t="shared" si="0"/>
        <v>LFSI</v>
      </c>
      <c r="I32" s="1" t="str">
        <f t="shared" si="3"/>
        <v>M.B6.N.UNEMPL.TOTAL0.15_74.T</v>
      </c>
      <c r="J32" s="4" t="str">
        <f t="shared" si="2"/>
        <v>LFSI.M.B6.N.UNEMPL.TOTAL0.15_74.T</v>
      </c>
    </row>
    <row r="33" spans="1:10" x14ac:dyDescent="0.2">
      <c r="A33" s="1" t="s">
        <v>2009</v>
      </c>
      <c r="B33" s="1">
        <v>1</v>
      </c>
      <c r="C33" s="1">
        <v>0</v>
      </c>
      <c r="D33" s="1" t="s">
        <v>102</v>
      </c>
      <c r="E33" s="1" t="s">
        <v>2042</v>
      </c>
      <c r="F33" s="1" t="s">
        <v>2404</v>
      </c>
      <c r="G33" s="1" t="s">
        <v>2044</v>
      </c>
      <c r="H33" s="1" t="str">
        <f t="shared" si="0"/>
        <v>LFSI</v>
      </c>
      <c r="I33" s="1" t="str">
        <f t="shared" si="3"/>
        <v>M.B6.S.UNEMPL.TOTAL0.15_74.T</v>
      </c>
      <c r="J33" s="4" t="str">
        <f t="shared" si="2"/>
        <v>LFSI.M.B6.S.UNEMPL.TOTAL0.15_74.T</v>
      </c>
    </row>
    <row r="34" spans="1:10" x14ac:dyDescent="0.2">
      <c r="A34" s="1" t="s">
        <v>2009</v>
      </c>
      <c r="B34" s="1">
        <v>1</v>
      </c>
      <c r="C34" s="1">
        <v>0</v>
      </c>
      <c r="D34" s="1" t="s">
        <v>102</v>
      </c>
      <c r="E34" s="1" t="s">
        <v>2042</v>
      </c>
      <c r="F34" s="1" t="s">
        <v>2405</v>
      </c>
      <c r="G34" s="1" t="s">
        <v>2045</v>
      </c>
      <c r="H34" s="1" t="str">
        <f t="shared" si="0"/>
        <v>LFSI</v>
      </c>
      <c r="I34" s="1" t="str">
        <f t="shared" si="3"/>
        <v>M.IT.N.UNEHRT.TOTAL0.15_74.T</v>
      </c>
      <c r="J34" s="4" t="str">
        <f t="shared" si="2"/>
        <v>LFSI.M.IT.N.UNEHRT.TOTAL0.15_74.T</v>
      </c>
    </row>
    <row r="35" spans="1:10" x14ac:dyDescent="0.2">
      <c r="A35" s="1" t="s">
        <v>2009</v>
      </c>
      <c r="B35" s="1">
        <v>1</v>
      </c>
      <c r="C35" s="1">
        <v>0</v>
      </c>
      <c r="D35" s="1" t="s">
        <v>102</v>
      </c>
      <c r="E35" s="1" t="s">
        <v>2042</v>
      </c>
      <c r="F35" s="1" t="s">
        <v>2405</v>
      </c>
      <c r="G35" s="1" t="s">
        <v>2046</v>
      </c>
      <c r="H35" s="1" t="str">
        <f t="shared" si="0"/>
        <v>LFSI</v>
      </c>
      <c r="I35" s="1" t="str">
        <f t="shared" si="3"/>
        <v>M.IT.S.UNEHRT.TOTAL0.15_74.T</v>
      </c>
      <c r="J35" s="4" t="str">
        <f t="shared" si="2"/>
        <v>LFSI.M.IT.S.UNEHRT.TOTAL0.15_74.T</v>
      </c>
    </row>
    <row r="36" spans="1:10" x14ac:dyDescent="0.2">
      <c r="A36" s="1" t="s">
        <v>2009</v>
      </c>
      <c r="B36" s="1">
        <v>1</v>
      </c>
      <c r="C36" s="1">
        <v>0</v>
      </c>
      <c r="D36" s="1" t="s">
        <v>102</v>
      </c>
      <c r="E36" s="1" t="s">
        <v>2346</v>
      </c>
      <c r="F36" s="1" t="s">
        <v>2411</v>
      </c>
      <c r="G36" s="1" t="s">
        <v>2047</v>
      </c>
      <c r="H36" s="1" t="str">
        <f t="shared" si="0"/>
        <v>YC</v>
      </c>
      <c r="I36" s="1" t="str">
        <f t="shared" si="3"/>
        <v>B.U2.EUR.4F.G_N_C.SV_C_YM.PY_10Y</v>
      </c>
      <c r="J36" s="4" t="str">
        <f t="shared" si="2"/>
        <v>YC.B.U2.EUR.4F.G_N_C.SV_C_YM.PY_10Y</v>
      </c>
    </row>
    <row r="37" spans="1:10" x14ac:dyDescent="0.2">
      <c r="A37" s="1" t="s">
        <v>2009</v>
      </c>
      <c r="B37" s="1">
        <v>1</v>
      </c>
      <c r="C37" s="1">
        <v>0</v>
      </c>
      <c r="D37" s="1" t="s">
        <v>102</v>
      </c>
      <c r="E37" s="1" t="s">
        <v>2347</v>
      </c>
      <c r="F37" s="1" t="s">
        <v>2412</v>
      </c>
      <c r="G37" s="1" t="s">
        <v>2048</v>
      </c>
      <c r="H37" s="1" t="str">
        <f t="shared" si="0"/>
        <v>YC</v>
      </c>
      <c r="I37" s="1" t="str">
        <f t="shared" si="3"/>
        <v>B.U2.EUR.4F.G_N_C.SV_C_YM.PY_15Y</v>
      </c>
      <c r="J37" s="4" t="str">
        <f t="shared" si="2"/>
        <v>YC.B.U2.EUR.4F.G_N_C.SV_C_YM.PY_15Y</v>
      </c>
    </row>
    <row r="38" spans="1:10" x14ac:dyDescent="0.2">
      <c r="A38" s="1" t="s">
        <v>2009</v>
      </c>
      <c r="B38" s="1">
        <v>1</v>
      </c>
      <c r="C38" s="1">
        <v>0</v>
      </c>
      <c r="D38" s="1" t="s">
        <v>102</v>
      </c>
      <c r="E38" s="1" t="s">
        <v>2348</v>
      </c>
      <c r="F38" s="1" t="s">
        <v>2413</v>
      </c>
      <c r="G38" s="1" t="s">
        <v>2049</v>
      </c>
      <c r="H38" s="1" t="str">
        <f t="shared" si="0"/>
        <v>YC</v>
      </c>
      <c r="I38" s="1" t="str">
        <f t="shared" si="3"/>
        <v>B.U2.EUR.4F.G_N_C.SV_C_YM.PY_1Y</v>
      </c>
      <c r="J38" s="4" t="str">
        <f t="shared" si="2"/>
        <v>YC.B.U2.EUR.4F.G_N_C.SV_C_YM.PY_1Y</v>
      </c>
    </row>
    <row r="39" spans="1:10" x14ac:dyDescent="0.2">
      <c r="A39" s="1" t="s">
        <v>2009</v>
      </c>
      <c r="B39" s="1">
        <v>1</v>
      </c>
      <c r="C39" s="1">
        <v>0</v>
      </c>
      <c r="D39" s="1" t="s">
        <v>102</v>
      </c>
      <c r="E39" s="1" t="s">
        <v>2349</v>
      </c>
      <c r="F39" s="1" t="s">
        <v>2414</v>
      </c>
      <c r="G39" s="1" t="s">
        <v>2050</v>
      </c>
      <c r="H39" s="1" t="str">
        <f t="shared" si="0"/>
        <v>YC</v>
      </c>
      <c r="I39" s="1" t="str">
        <f t="shared" si="3"/>
        <v>B.U2.EUR.4F.G_N_C.SV_C_YM.PY_20Y</v>
      </c>
      <c r="J39" s="4" t="str">
        <f t="shared" si="2"/>
        <v>YC.B.U2.EUR.4F.G_N_C.SV_C_YM.PY_20Y</v>
      </c>
    </row>
    <row r="40" spans="1:10" x14ac:dyDescent="0.2">
      <c r="A40" s="1" t="s">
        <v>2009</v>
      </c>
      <c r="B40" s="1">
        <v>1</v>
      </c>
      <c r="C40" s="1">
        <v>0</v>
      </c>
      <c r="D40" s="1" t="s">
        <v>102</v>
      </c>
      <c r="E40" s="1" t="s">
        <v>2350</v>
      </c>
      <c r="F40" s="1" t="s">
        <v>2415</v>
      </c>
      <c r="G40" s="1" t="s">
        <v>2051</v>
      </c>
      <c r="H40" s="1" t="str">
        <f t="shared" si="0"/>
        <v>YC</v>
      </c>
      <c r="I40" s="1" t="str">
        <f t="shared" si="3"/>
        <v>B.U2.EUR.4F.G_N_C.SV_C_YM.PY_2Y</v>
      </c>
      <c r="J40" s="4" t="str">
        <f t="shared" si="2"/>
        <v>YC.B.U2.EUR.4F.G_N_C.SV_C_YM.PY_2Y</v>
      </c>
    </row>
    <row r="41" spans="1:10" x14ac:dyDescent="0.2">
      <c r="A41" s="1" t="s">
        <v>2009</v>
      </c>
      <c r="B41" s="1">
        <v>1</v>
      </c>
      <c r="C41" s="1">
        <v>0</v>
      </c>
      <c r="D41" s="1" t="s">
        <v>102</v>
      </c>
      <c r="E41" s="1" t="s">
        <v>2351</v>
      </c>
      <c r="F41" s="1" t="s">
        <v>2416</v>
      </c>
      <c r="G41" s="1" t="s">
        <v>2052</v>
      </c>
      <c r="H41" s="1" t="str">
        <f t="shared" si="0"/>
        <v>YC</v>
      </c>
      <c r="I41" s="1" t="str">
        <f t="shared" si="3"/>
        <v>B.U2.EUR.4F.G_N_C.SV_C_YM.PY_3Y</v>
      </c>
      <c r="J41" s="4" t="str">
        <f t="shared" si="2"/>
        <v>YC.B.U2.EUR.4F.G_N_C.SV_C_YM.PY_3Y</v>
      </c>
    </row>
    <row r="42" spans="1:10" x14ac:dyDescent="0.2">
      <c r="A42" s="1" t="s">
        <v>2009</v>
      </c>
      <c r="B42" s="1">
        <v>1</v>
      </c>
      <c r="C42" s="1">
        <v>0</v>
      </c>
      <c r="D42" s="1" t="s">
        <v>102</v>
      </c>
      <c r="E42" s="1" t="s">
        <v>2352</v>
      </c>
      <c r="F42" s="1" t="s">
        <v>2417</v>
      </c>
      <c r="G42" s="1" t="s">
        <v>2053</v>
      </c>
      <c r="H42" s="1" t="str">
        <f t="shared" si="0"/>
        <v>YC</v>
      </c>
      <c r="I42" s="1" t="str">
        <f t="shared" si="3"/>
        <v>B.U2.EUR.4F.G_N_C.SV_C_YM.PY_5Y</v>
      </c>
      <c r="J42" s="4" t="str">
        <f t="shared" si="2"/>
        <v>YC.B.U2.EUR.4F.G_N_C.SV_C_YM.PY_5Y</v>
      </c>
    </row>
    <row r="43" spans="1:10" x14ac:dyDescent="0.2">
      <c r="A43" s="1" t="s">
        <v>2009</v>
      </c>
      <c r="B43" s="1">
        <v>1</v>
      </c>
      <c r="C43" s="1">
        <v>0</v>
      </c>
      <c r="D43" s="1" t="s">
        <v>102</v>
      </c>
      <c r="E43" s="1" t="s">
        <v>2353</v>
      </c>
      <c r="F43" s="1" t="s">
        <v>2418</v>
      </c>
      <c r="G43" s="1" t="s">
        <v>2054</v>
      </c>
      <c r="H43" s="1" t="str">
        <f t="shared" si="0"/>
        <v>FM</v>
      </c>
      <c r="I43" s="1" t="str">
        <f t="shared" si="3"/>
        <v>M.U2.EUR.4F.BB.U2_10Y.YLD</v>
      </c>
      <c r="J43" s="4" t="str">
        <f t="shared" si="2"/>
        <v>FM.M.U2.EUR.4F.BB.U2_10Y.YLD</v>
      </c>
    </row>
    <row r="44" spans="1:10" x14ac:dyDescent="0.2">
      <c r="A44" s="1" t="s">
        <v>2009</v>
      </c>
      <c r="B44" s="1">
        <v>1</v>
      </c>
      <c r="C44" s="1">
        <v>0</v>
      </c>
      <c r="D44" s="1" t="s">
        <v>102</v>
      </c>
      <c r="E44" s="1" t="s">
        <v>2354</v>
      </c>
      <c r="F44" s="1" t="s">
        <v>2419</v>
      </c>
      <c r="G44" s="1" t="s">
        <v>2055</v>
      </c>
      <c r="H44" s="1" t="str">
        <f t="shared" si="0"/>
        <v>FM</v>
      </c>
      <c r="I44" s="1" t="str">
        <f t="shared" si="3"/>
        <v>M.U2.EUR.4F.BB.U2_2Y.YLD</v>
      </c>
      <c r="J44" s="4" t="str">
        <f t="shared" si="2"/>
        <v>FM.M.U2.EUR.4F.BB.U2_2Y.YLD</v>
      </c>
    </row>
    <row r="45" spans="1:10" x14ac:dyDescent="0.2">
      <c r="A45" s="1" t="s">
        <v>2009</v>
      </c>
      <c r="B45" s="1">
        <v>1</v>
      </c>
      <c r="C45" s="1">
        <v>0</v>
      </c>
      <c r="D45" s="1" t="s">
        <v>102</v>
      </c>
      <c r="E45" s="1" t="s">
        <v>2355</v>
      </c>
      <c r="F45" s="1" t="s">
        <v>2420</v>
      </c>
      <c r="G45" s="1" t="s">
        <v>2056</v>
      </c>
      <c r="H45" s="1" t="str">
        <f t="shared" si="0"/>
        <v>FM</v>
      </c>
      <c r="I45" s="1" t="str">
        <f t="shared" si="3"/>
        <v>M.U2.EUR.4F.BB.U2_3Y.YLD</v>
      </c>
      <c r="J45" s="4" t="str">
        <f t="shared" si="2"/>
        <v>FM.M.U2.EUR.4F.BB.U2_3Y.YLD</v>
      </c>
    </row>
    <row r="46" spans="1:10" x14ac:dyDescent="0.2">
      <c r="A46" s="1" t="s">
        <v>2009</v>
      </c>
      <c r="B46" s="1">
        <v>1</v>
      </c>
      <c r="C46" s="1">
        <v>0</v>
      </c>
      <c r="D46" s="1" t="s">
        <v>102</v>
      </c>
      <c r="E46" s="1" t="s">
        <v>2356</v>
      </c>
      <c r="F46" s="1" t="s">
        <v>2421</v>
      </c>
      <c r="G46" s="1" t="s">
        <v>2057</v>
      </c>
      <c r="H46" s="1" t="str">
        <f t="shared" si="0"/>
        <v>FM</v>
      </c>
      <c r="I46" s="1" t="str">
        <f t="shared" si="3"/>
        <v>M.U2.EUR.4F.BB.U2_5Y.YLD</v>
      </c>
      <c r="J46" s="4" t="str">
        <f t="shared" si="2"/>
        <v>FM.M.U2.EUR.4F.BB.U2_5Y.YLD</v>
      </c>
    </row>
    <row r="47" spans="1:10" x14ac:dyDescent="0.2">
      <c r="A47" s="1" t="s">
        <v>2009</v>
      </c>
      <c r="B47" s="1">
        <v>1</v>
      </c>
      <c r="C47" s="1">
        <v>0</v>
      </c>
      <c r="D47" s="1" t="s">
        <v>102</v>
      </c>
      <c r="E47" s="1" t="s">
        <v>2357</v>
      </c>
      <c r="F47" s="1" t="s">
        <v>2422</v>
      </c>
      <c r="G47" s="1" t="s">
        <v>2058</v>
      </c>
      <c r="H47" s="1" t="str">
        <f t="shared" si="0"/>
        <v>FM</v>
      </c>
      <c r="I47" s="1" t="str">
        <f t="shared" si="3"/>
        <v>M.U2.EUR.4F.BB.U2_7Y.YLD</v>
      </c>
      <c r="J47" s="4" t="str">
        <f t="shared" si="2"/>
        <v>FM.M.U2.EUR.4F.BB.U2_7Y.YLD</v>
      </c>
    </row>
    <row r="48" spans="1:10" x14ac:dyDescent="0.2">
      <c r="A48" s="1" t="s">
        <v>2009</v>
      </c>
      <c r="B48" s="1">
        <v>1</v>
      </c>
      <c r="C48" s="1">
        <v>0</v>
      </c>
      <c r="D48" s="1" t="s">
        <v>102</v>
      </c>
      <c r="E48" s="1" t="s">
        <v>2059</v>
      </c>
      <c r="F48" s="1" t="s">
        <v>2423</v>
      </c>
      <c r="G48" s="1" t="s">
        <v>2060</v>
      </c>
      <c r="H48" s="1" t="str">
        <f t="shared" si="0"/>
        <v>FM</v>
      </c>
      <c r="I48" s="1" t="str">
        <f t="shared" si="3"/>
        <v>Q.U2.EUR.DS.EI.DJES50I.HSTA</v>
      </c>
      <c r="J48" s="4" t="str">
        <f t="shared" si="2"/>
        <v>FM.Q.U2.EUR.DS.EI.DJES50I.HSTA</v>
      </c>
    </row>
    <row r="49" spans="1:10" x14ac:dyDescent="0.2">
      <c r="A49" s="1" t="s">
        <v>2009</v>
      </c>
      <c r="B49" s="1">
        <v>1</v>
      </c>
      <c r="C49" s="1">
        <v>0</v>
      </c>
      <c r="D49" s="1" t="s">
        <v>102</v>
      </c>
      <c r="E49" s="1" t="s">
        <v>2061</v>
      </c>
      <c r="F49" s="1" t="s">
        <v>2424</v>
      </c>
      <c r="G49" s="1" t="s">
        <v>2062</v>
      </c>
      <c r="H49" s="1" t="str">
        <f t="shared" si="0"/>
        <v>FM</v>
      </c>
      <c r="I49" s="1" t="str">
        <f t="shared" si="3"/>
        <v>Q.U2.EUR.DS.EI.DJEURST.HSTA</v>
      </c>
      <c r="J49" s="4" t="str">
        <f t="shared" si="2"/>
        <v>FM.Q.U2.EUR.DS.EI.DJEURST.HSTA</v>
      </c>
    </row>
    <row r="50" spans="1:10" x14ac:dyDescent="0.2">
      <c r="A50" s="1" t="s">
        <v>2009</v>
      </c>
      <c r="B50" s="1">
        <v>1</v>
      </c>
      <c r="C50" s="1">
        <v>0</v>
      </c>
      <c r="D50" s="1" t="s">
        <v>102</v>
      </c>
      <c r="E50" s="1" t="s">
        <v>2063</v>
      </c>
      <c r="F50" s="1" t="s">
        <v>2425</v>
      </c>
      <c r="G50" s="1" t="s">
        <v>2064</v>
      </c>
      <c r="H50" s="1" t="str">
        <f t="shared" si="0"/>
        <v>FM</v>
      </c>
      <c r="I50" s="1" t="str">
        <f t="shared" si="3"/>
        <v>Q.U2.EUR.DS.EI.S1ESBME.HSTA</v>
      </c>
      <c r="J50" s="4" t="str">
        <f t="shared" si="2"/>
        <v>FM.Q.U2.EUR.DS.EI.S1ESBME.HSTA</v>
      </c>
    </row>
    <row r="51" spans="1:10" x14ac:dyDescent="0.2">
      <c r="A51" s="1" t="s">
        <v>2009</v>
      </c>
      <c r="B51" s="1">
        <v>1</v>
      </c>
      <c r="C51" s="1">
        <v>0</v>
      </c>
      <c r="D51" s="1" t="s">
        <v>102</v>
      </c>
      <c r="E51" s="1" t="s">
        <v>2065</v>
      </c>
      <c r="F51" s="1" t="s">
        <v>2426</v>
      </c>
      <c r="G51" s="1" t="s">
        <v>2066</v>
      </c>
      <c r="H51" s="1" t="str">
        <f t="shared" si="0"/>
        <v>FM</v>
      </c>
      <c r="I51" s="1" t="str">
        <f t="shared" si="3"/>
        <v>Q.U2.EUR.DS.EI.S1ESCSE.HSTA</v>
      </c>
      <c r="J51" s="4" t="str">
        <f t="shared" si="2"/>
        <v>FM.Q.U2.EUR.DS.EI.S1ESCSE.HSTA</v>
      </c>
    </row>
    <row r="52" spans="1:10" x14ac:dyDescent="0.2">
      <c r="A52" s="1" t="s">
        <v>2009</v>
      </c>
      <c r="B52" s="1">
        <v>1</v>
      </c>
      <c r="C52" s="1">
        <v>0</v>
      </c>
      <c r="D52" s="1" t="s">
        <v>102</v>
      </c>
      <c r="E52" s="1" t="s">
        <v>2067</v>
      </c>
      <c r="F52" s="1" t="s">
        <v>2427</v>
      </c>
      <c r="G52" s="1" t="s">
        <v>2068</v>
      </c>
      <c r="H52" s="1" t="str">
        <f t="shared" si="0"/>
        <v>FM</v>
      </c>
      <c r="I52" s="1" t="str">
        <f t="shared" si="3"/>
        <v>Q.U2.EUR.DS.EI.S1ESG1E.HSTA</v>
      </c>
      <c r="J52" s="4" t="str">
        <f t="shared" si="2"/>
        <v>FM.Q.U2.EUR.DS.EI.S1ESG1E.HSTA</v>
      </c>
    </row>
    <row r="53" spans="1:10" x14ac:dyDescent="0.2">
      <c r="A53" s="1" t="s">
        <v>2009</v>
      </c>
      <c r="B53" s="1">
        <v>1</v>
      </c>
      <c r="C53" s="1">
        <v>0</v>
      </c>
      <c r="D53" s="1" t="s">
        <v>102</v>
      </c>
      <c r="E53" s="1" t="s">
        <v>2069</v>
      </c>
      <c r="F53" s="1" t="s">
        <v>2428</v>
      </c>
      <c r="G53" s="1" t="s">
        <v>2070</v>
      </c>
      <c r="H53" s="1" t="str">
        <f t="shared" ref="H53:H106" si="4">LEFT(G53,FIND(".",G53)-1)</f>
        <v>FM</v>
      </c>
      <c r="I53" s="1" t="str">
        <f t="shared" si="3"/>
        <v>Q.U2.EUR.DS.EI.S1ESH1E.HSTA</v>
      </c>
      <c r="J53" s="4" t="str">
        <f t="shared" ref="J53:J106" si="5">+HYPERLINK("https://data.ecb.europa.eu/data/datasets/"&amp;H53&amp;"/"&amp;G53,G53)</f>
        <v>FM.Q.U2.EUR.DS.EI.S1ESH1E.HSTA</v>
      </c>
    </row>
    <row r="54" spans="1:10" x14ac:dyDescent="0.2">
      <c r="A54" s="1" t="s">
        <v>2009</v>
      </c>
      <c r="B54" s="1">
        <v>1</v>
      </c>
      <c r="C54" s="1">
        <v>0</v>
      </c>
      <c r="D54" s="1" t="s">
        <v>102</v>
      </c>
      <c r="E54" s="1" t="s">
        <v>2071</v>
      </c>
      <c r="F54" s="1" t="s">
        <v>2429</v>
      </c>
      <c r="G54" s="1" t="s">
        <v>2072</v>
      </c>
      <c r="H54" s="1" t="str">
        <f t="shared" si="4"/>
        <v>FM</v>
      </c>
      <c r="I54" s="1" t="str">
        <f t="shared" ref="I54:I107" si="6">RIGHT(G54,LEN(G54)-FIND(".",G54))</f>
        <v>Q.U2.EUR.DS.EI.S1ESIDE.HSTA</v>
      </c>
      <c r="J54" s="4" t="str">
        <f t="shared" si="5"/>
        <v>FM.Q.U2.EUR.DS.EI.S1ESIDE.HSTA</v>
      </c>
    </row>
    <row r="55" spans="1:10" x14ac:dyDescent="0.2">
      <c r="A55" s="1" t="s">
        <v>2009</v>
      </c>
      <c r="B55" s="1">
        <v>1</v>
      </c>
      <c r="C55" s="1">
        <v>0</v>
      </c>
      <c r="D55" s="1" t="s">
        <v>102</v>
      </c>
      <c r="E55" s="1" t="s">
        <v>2073</v>
      </c>
      <c r="F55" s="1" t="s">
        <v>2430</v>
      </c>
      <c r="G55" s="1" t="s">
        <v>2074</v>
      </c>
      <c r="H55" s="1" t="str">
        <f t="shared" si="4"/>
        <v>FM</v>
      </c>
      <c r="I55" s="1" t="str">
        <f t="shared" si="6"/>
        <v>Q.U2.EUR.DS.EI.S1ESO1E.HSTA</v>
      </c>
      <c r="J55" s="4" t="str">
        <f t="shared" si="5"/>
        <v>FM.Q.U2.EUR.DS.EI.S1ESO1E.HSTA</v>
      </c>
    </row>
    <row r="56" spans="1:10" x14ac:dyDescent="0.2">
      <c r="A56" s="1" t="s">
        <v>2009</v>
      </c>
      <c r="B56" s="1">
        <v>1</v>
      </c>
      <c r="C56" s="1">
        <v>0</v>
      </c>
      <c r="D56" s="1" t="s">
        <v>102</v>
      </c>
      <c r="E56" s="1" t="s">
        <v>2075</v>
      </c>
      <c r="F56" s="1" t="s">
        <v>2431</v>
      </c>
      <c r="G56" s="1" t="s">
        <v>2076</v>
      </c>
      <c r="H56" s="1" t="str">
        <f t="shared" si="4"/>
        <v>FM</v>
      </c>
      <c r="I56" s="1" t="str">
        <f t="shared" si="6"/>
        <v>Q.U2.EUR.DS.EI.S1EST1E.HSTA</v>
      </c>
      <c r="J56" s="4" t="str">
        <f t="shared" si="5"/>
        <v>FM.Q.U2.EUR.DS.EI.S1EST1E.HSTA</v>
      </c>
    </row>
    <row r="57" spans="1:10" x14ac:dyDescent="0.2">
      <c r="A57" s="1" t="s">
        <v>2009</v>
      </c>
      <c r="B57" s="1">
        <v>1</v>
      </c>
      <c r="C57" s="1">
        <v>0</v>
      </c>
      <c r="D57" s="1" t="s">
        <v>102</v>
      </c>
      <c r="E57" s="1" t="s">
        <v>2077</v>
      </c>
      <c r="F57" s="1" t="s">
        <v>2432</v>
      </c>
      <c r="G57" s="1" t="s">
        <v>2078</v>
      </c>
      <c r="H57" s="1" t="str">
        <f t="shared" si="4"/>
        <v>FM</v>
      </c>
      <c r="I57" s="1" t="str">
        <f t="shared" si="6"/>
        <v>Q.U2.EUR.DS.EI.S1ESU1E.HSTA</v>
      </c>
      <c r="J57" s="4" t="str">
        <f t="shared" si="5"/>
        <v>FM.Q.U2.EUR.DS.EI.S1ESU1E.HSTA</v>
      </c>
    </row>
    <row r="58" spans="1:10" x14ac:dyDescent="0.2">
      <c r="A58" s="1" t="s">
        <v>2009</v>
      </c>
      <c r="B58" s="1">
        <v>1</v>
      </c>
      <c r="C58" s="1">
        <v>0</v>
      </c>
      <c r="D58" s="1" t="s">
        <v>102</v>
      </c>
      <c r="E58" s="1" t="s">
        <v>2358</v>
      </c>
      <c r="F58" s="1" t="s">
        <v>2433</v>
      </c>
      <c r="G58" s="1" t="s">
        <v>2091</v>
      </c>
      <c r="H58" s="1" t="str">
        <f t="shared" si="4"/>
        <v>GFS</v>
      </c>
      <c r="I58" s="1" t="str">
        <f t="shared" si="6"/>
        <v>Q.N.IT.W0.S13.S1.C.L.LE.GD.T._Z.XDC._T.F.V.N._T</v>
      </c>
      <c r="J58" s="4" t="str">
        <f t="shared" si="5"/>
        <v>GFS.Q.N.IT.W0.S13.S1.C.L.LE.GD.T._Z.XDC._T.F.V.N._T</v>
      </c>
    </row>
    <row r="59" spans="1:10" x14ac:dyDescent="0.2">
      <c r="A59" s="1" t="s">
        <v>2009</v>
      </c>
      <c r="B59" s="1">
        <v>1</v>
      </c>
      <c r="C59" s="1">
        <v>0</v>
      </c>
      <c r="D59" s="1" t="s">
        <v>102</v>
      </c>
      <c r="E59" s="1" t="s">
        <v>2358</v>
      </c>
      <c r="F59" s="1" t="s">
        <v>2434</v>
      </c>
      <c r="G59" s="1" t="s">
        <v>2092</v>
      </c>
      <c r="H59" s="1" t="str">
        <f t="shared" si="4"/>
        <v>GFS</v>
      </c>
      <c r="I59" s="1" t="str">
        <f t="shared" si="6"/>
        <v>Q.N.I9.W0.S13.S1.C.L.LE.GD.T._Z.XDC._T.F.V.N._T</v>
      </c>
      <c r="J59" s="4" t="str">
        <f t="shared" si="5"/>
        <v>GFS.Q.N.I9.W0.S13.S1.C.L.LE.GD.T._Z.XDC._T.F.V.N._T</v>
      </c>
    </row>
    <row r="60" spans="1:10" x14ac:dyDescent="0.2">
      <c r="A60" s="1" t="s">
        <v>2009</v>
      </c>
      <c r="B60" s="1">
        <v>1</v>
      </c>
      <c r="C60" s="1">
        <v>0</v>
      </c>
      <c r="D60" s="1" t="s">
        <v>102</v>
      </c>
      <c r="E60" s="1" t="s">
        <v>2093</v>
      </c>
      <c r="F60" s="1" t="s">
        <v>2435</v>
      </c>
      <c r="G60" s="1" t="s">
        <v>2094</v>
      </c>
      <c r="H60" s="1" t="str">
        <f t="shared" si="4"/>
        <v>CISS</v>
      </c>
      <c r="I60" s="1" t="str">
        <f t="shared" si="6"/>
        <v>D.CN.Z0Z.4F.EC.SS_CIN.IDX</v>
      </c>
      <c r="J60" s="4" t="str">
        <f t="shared" si="5"/>
        <v>CISS.D.CN.Z0Z.4F.EC.SS_CIN.IDX</v>
      </c>
    </row>
    <row r="61" spans="1:10" x14ac:dyDescent="0.2">
      <c r="A61" s="1" t="s">
        <v>2009</v>
      </c>
      <c r="B61" s="1">
        <v>1</v>
      </c>
      <c r="C61" s="1">
        <v>0</v>
      </c>
      <c r="D61" s="1" t="s">
        <v>102</v>
      </c>
      <c r="E61" s="1" t="s">
        <v>2093</v>
      </c>
      <c r="F61" s="1" t="s">
        <v>2436</v>
      </c>
      <c r="G61" s="1" t="s">
        <v>2095</v>
      </c>
      <c r="H61" s="1" t="str">
        <f t="shared" si="4"/>
        <v>CISS</v>
      </c>
      <c r="I61" s="1" t="str">
        <f t="shared" si="6"/>
        <v>D.IT.Z0Z.4F.EC.SS_CIN.IDX</v>
      </c>
      <c r="J61" s="4" t="str">
        <f t="shared" si="5"/>
        <v>CISS.D.IT.Z0Z.4F.EC.SS_CIN.IDX</v>
      </c>
    </row>
    <row r="62" spans="1:10" x14ac:dyDescent="0.2">
      <c r="A62" s="1" t="s">
        <v>2009</v>
      </c>
      <c r="B62" s="1">
        <v>1</v>
      </c>
      <c r="C62" s="1">
        <v>0</v>
      </c>
      <c r="D62" s="1" t="s">
        <v>102</v>
      </c>
      <c r="E62" s="1" t="s">
        <v>2096</v>
      </c>
      <c r="F62" s="1" t="s">
        <v>2437</v>
      </c>
      <c r="G62" s="1" t="s">
        <v>2097</v>
      </c>
      <c r="H62" s="1" t="str">
        <f t="shared" si="4"/>
        <v>CISS</v>
      </c>
      <c r="I62" s="1" t="str">
        <f t="shared" si="6"/>
        <v>D.US.Z0Z.4F.EC.SS_CI.IDX</v>
      </c>
      <c r="J62" s="4" t="str">
        <f t="shared" si="5"/>
        <v>CISS.D.US.Z0Z.4F.EC.SS_CI.IDX</v>
      </c>
    </row>
    <row r="63" spans="1:10" x14ac:dyDescent="0.2">
      <c r="A63" s="1" t="s">
        <v>2009</v>
      </c>
      <c r="B63" s="1">
        <v>1</v>
      </c>
      <c r="C63" s="1">
        <v>0</v>
      </c>
      <c r="D63" s="1" t="s">
        <v>102</v>
      </c>
      <c r="E63" s="1" t="s">
        <v>2098</v>
      </c>
      <c r="F63" s="1" t="s">
        <v>2438</v>
      </c>
      <c r="G63" s="1" t="s">
        <v>2099</v>
      </c>
      <c r="H63" s="1" t="str">
        <f t="shared" si="4"/>
        <v>CISS</v>
      </c>
      <c r="I63" s="1" t="str">
        <f t="shared" si="6"/>
        <v>M.IT.Z0Z.4F.EC.SOV_CI.IDX</v>
      </c>
      <c r="J63" s="4" t="str">
        <f t="shared" si="5"/>
        <v>CISS.M.IT.Z0Z.4F.EC.SOV_CI.IDX</v>
      </c>
    </row>
    <row r="64" spans="1:10" x14ac:dyDescent="0.2">
      <c r="A64" s="1" t="s">
        <v>2009</v>
      </c>
      <c r="B64" s="1">
        <v>1</v>
      </c>
      <c r="C64" s="1">
        <v>0</v>
      </c>
      <c r="D64" s="1" t="s">
        <v>102</v>
      </c>
      <c r="E64" s="1" t="s">
        <v>2100</v>
      </c>
      <c r="F64" s="1" t="s">
        <v>2439</v>
      </c>
      <c r="G64" s="1" t="s">
        <v>2101</v>
      </c>
      <c r="H64" s="1" t="str">
        <f t="shared" si="4"/>
        <v>CLIFS</v>
      </c>
      <c r="I64" s="1" t="str">
        <f t="shared" si="6"/>
        <v>M.IT._Z.4F.EC.CLIFS_CI.IDX</v>
      </c>
      <c r="J64" s="4" t="str">
        <f t="shared" si="5"/>
        <v>CLIFS.M.IT._Z.4F.EC.CLIFS_CI.IDX</v>
      </c>
    </row>
    <row r="65" spans="1:10" x14ac:dyDescent="0.2">
      <c r="A65" s="1" t="s">
        <v>2009</v>
      </c>
      <c r="B65" s="1">
        <v>1</v>
      </c>
      <c r="C65" s="1">
        <v>0</v>
      </c>
      <c r="D65" s="1" t="s">
        <v>102</v>
      </c>
      <c r="E65" s="1" t="s">
        <v>2102</v>
      </c>
      <c r="F65" s="1" t="s">
        <v>2440</v>
      </c>
      <c r="G65" s="1" t="s">
        <v>2103</v>
      </c>
      <c r="H65" s="1" t="str">
        <f t="shared" si="4"/>
        <v>RAI</v>
      </c>
      <c r="I65" s="1" t="str">
        <f t="shared" si="6"/>
        <v>M.IT.GRNLHHNFC.EUR.MIR.Z</v>
      </c>
      <c r="J65" s="4" t="str">
        <f t="shared" si="5"/>
        <v>RAI.M.IT.GRNLHHNFC.EUR.MIR.Z</v>
      </c>
    </row>
    <row r="66" spans="1:10" x14ac:dyDescent="0.2">
      <c r="A66" s="1" t="s">
        <v>2009</v>
      </c>
      <c r="B66" s="1">
        <v>1</v>
      </c>
      <c r="C66" s="1">
        <v>0</v>
      </c>
      <c r="D66" s="1" t="s">
        <v>102</v>
      </c>
      <c r="E66" s="1" t="s">
        <v>2104</v>
      </c>
      <c r="F66" s="1" t="s">
        <v>2441</v>
      </c>
      <c r="G66" s="1" t="s">
        <v>2105</v>
      </c>
      <c r="H66" s="1" t="str">
        <f t="shared" si="4"/>
        <v>RAI</v>
      </c>
      <c r="I66" s="1" t="str">
        <f t="shared" si="6"/>
        <v>M.IT.LMGBLNFCH.EUR.MIR.Z</v>
      </c>
      <c r="J66" s="4" t="str">
        <f t="shared" si="5"/>
        <v>RAI.M.IT.LMGBLNFCH.EUR.MIR.Z</v>
      </c>
    </row>
    <row r="67" spans="1:10" x14ac:dyDescent="0.2">
      <c r="A67" s="1" t="s">
        <v>2009</v>
      </c>
      <c r="B67" s="1">
        <v>1</v>
      </c>
      <c r="C67" s="1">
        <v>0</v>
      </c>
      <c r="D67" s="1" t="s">
        <v>102</v>
      </c>
      <c r="E67" s="1" t="s">
        <v>2106</v>
      </c>
      <c r="F67" s="1" t="s">
        <v>2442</v>
      </c>
      <c r="G67" s="1" t="s">
        <v>2107</v>
      </c>
      <c r="H67" s="1" t="str">
        <f t="shared" si="4"/>
        <v>RAI</v>
      </c>
      <c r="I67" s="1" t="str">
        <f t="shared" si="6"/>
        <v>M.IT.LMGLHH.EUR.MIR.Z</v>
      </c>
      <c r="J67" s="4" t="str">
        <f t="shared" si="5"/>
        <v>RAI.M.IT.LMGLHH.EUR.MIR.Z</v>
      </c>
    </row>
    <row r="68" spans="1:10" x14ac:dyDescent="0.2">
      <c r="A68" s="1" t="s">
        <v>2009</v>
      </c>
      <c r="B68" s="1">
        <v>1</v>
      </c>
      <c r="C68" s="1">
        <v>0</v>
      </c>
      <c r="D68" s="1" t="s">
        <v>102</v>
      </c>
      <c r="E68" s="1" t="s">
        <v>2108</v>
      </c>
      <c r="F68" s="1" t="s">
        <v>2443</v>
      </c>
      <c r="G68" s="1" t="s">
        <v>2109</v>
      </c>
      <c r="H68" s="1" t="str">
        <f t="shared" si="4"/>
        <v>RAI</v>
      </c>
      <c r="I68" s="1" t="str">
        <f t="shared" si="6"/>
        <v>M.IT.LMGLNFC.EUR.MIR.Z</v>
      </c>
      <c r="J68" s="4" t="str">
        <f t="shared" si="5"/>
        <v>RAI.M.IT.LMGLNFC.EUR.MIR.Z</v>
      </c>
    </row>
    <row r="69" spans="1:10" x14ac:dyDescent="0.2">
      <c r="A69" s="1" t="s">
        <v>2009</v>
      </c>
      <c r="B69" s="1">
        <v>1</v>
      </c>
      <c r="C69" s="1">
        <v>0</v>
      </c>
      <c r="D69" s="1" t="s">
        <v>102</v>
      </c>
      <c r="E69" s="1" t="s">
        <v>2110</v>
      </c>
      <c r="F69" s="1" t="s">
        <v>2444</v>
      </c>
      <c r="G69" s="1" t="s">
        <v>2111</v>
      </c>
      <c r="H69" s="1" t="str">
        <f t="shared" si="4"/>
        <v>RAI</v>
      </c>
      <c r="I69" s="1" t="str">
        <f t="shared" si="6"/>
        <v>M.IT.LMGOLNFCH.EUR.MIR.Z</v>
      </c>
      <c r="J69" s="4" t="str">
        <f t="shared" si="5"/>
        <v>RAI.M.IT.LMGOLNFCH.EUR.MIR.Z</v>
      </c>
    </row>
    <row r="70" spans="1:10" x14ac:dyDescent="0.2">
      <c r="A70" s="1" t="s">
        <v>2009</v>
      </c>
      <c r="B70" s="1">
        <v>1</v>
      </c>
      <c r="C70" s="1">
        <v>0</v>
      </c>
      <c r="D70" s="1" t="s">
        <v>102</v>
      </c>
      <c r="E70" s="1" t="s">
        <v>2112</v>
      </c>
      <c r="F70" s="1" t="s">
        <v>2445</v>
      </c>
      <c r="G70" s="1" t="s">
        <v>2113</v>
      </c>
      <c r="H70" s="1" t="str">
        <f t="shared" si="4"/>
        <v>RAI</v>
      </c>
      <c r="I70" s="1" t="str">
        <f t="shared" si="6"/>
        <v>M.IT.SVLHHNFC.EUR.MIR.Z</v>
      </c>
      <c r="J70" s="4" t="str">
        <f t="shared" si="5"/>
        <v>RAI.M.IT.SVLHHNFC.EUR.MIR.Z</v>
      </c>
    </row>
    <row r="71" spans="1:10" x14ac:dyDescent="0.2">
      <c r="A71" s="1" t="s">
        <v>2009</v>
      </c>
      <c r="B71" s="1">
        <v>1</v>
      </c>
      <c r="C71" s="1">
        <v>0</v>
      </c>
      <c r="D71" s="1" t="s">
        <v>102</v>
      </c>
      <c r="E71" s="1" t="s">
        <v>2114</v>
      </c>
      <c r="F71" s="1" t="s">
        <v>2446</v>
      </c>
      <c r="G71" s="1" t="s">
        <v>2115</v>
      </c>
      <c r="H71" s="1" t="str">
        <f t="shared" si="4"/>
        <v>RAI</v>
      </c>
      <c r="I71" s="1" t="str">
        <f t="shared" si="6"/>
        <v>M.IT.SVLHPHH.EUR.MIR.Z</v>
      </c>
      <c r="J71" s="4" t="str">
        <f t="shared" si="5"/>
        <v>RAI.M.IT.SVLHPHH.EUR.MIR.Z</v>
      </c>
    </row>
    <row r="72" spans="1:10" x14ac:dyDescent="0.2">
      <c r="A72" s="1" t="s">
        <v>2009</v>
      </c>
      <c r="B72" s="1">
        <v>1</v>
      </c>
      <c r="C72" s="1">
        <v>0</v>
      </c>
      <c r="D72" s="1" t="s">
        <v>102</v>
      </c>
      <c r="E72" s="1" t="s">
        <v>2116</v>
      </c>
      <c r="F72" s="1" t="s">
        <v>2447</v>
      </c>
      <c r="G72" s="1" t="s">
        <v>2117</v>
      </c>
      <c r="H72" s="1" t="str">
        <f t="shared" si="4"/>
        <v>RAI</v>
      </c>
      <c r="I72" s="1" t="str">
        <f t="shared" si="6"/>
        <v>Q.IT.SVLOAHH.EUR.BSI.Z</v>
      </c>
      <c r="J72" s="4" t="str">
        <f t="shared" si="5"/>
        <v>RAI.Q.IT.SVLOAHH.EUR.BSI.Z</v>
      </c>
    </row>
    <row r="73" spans="1:10" x14ac:dyDescent="0.2">
      <c r="A73" s="1" t="s">
        <v>2009</v>
      </c>
      <c r="B73" s="1">
        <v>1</v>
      </c>
      <c r="C73" s="1">
        <v>0</v>
      </c>
      <c r="D73" s="1" t="s">
        <v>102</v>
      </c>
      <c r="E73" s="1" t="s">
        <v>2118</v>
      </c>
      <c r="F73" s="1" t="s">
        <v>2448</v>
      </c>
      <c r="G73" s="1" t="s">
        <v>2119</v>
      </c>
      <c r="H73" s="1" t="str">
        <f t="shared" si="4"/>
        <v>RAI</v>
      </c>
      <c r="I73" s="1" t="str">
        <f t="shared" si="6"/>
        <v>Q.IT.SVLOANFC.EUR.BSI.Z</v>
      </c>
      <c r="J73" s="4" t="str">
        <f t="shared" si="5"/>
        <v>RAI.Q.IT.SVLOANFC.EUR.BSI.Z</v>
      </c>
    </row>
    <row r="74" spans="1:10" x14ac:dyDescent="0.2">
      <c r="A74" s="1" t="s">
        <v>2009</v>
      </c>
      <c r="B74" s="1">
        <v>1</v>
      </c>
      <c r="C74" s="1">
        <v>0</v>
      </c>
      <c r="D74" s="1" t="s">
        <v>102</v>
      </c>
      <c r="E74" s="1" t="s">
        <v>2120</v>
      </c>
      <c r="F74" s="1" t="s">
        <v>2449</v>
      </c>
      <c r="G74" s="1" t="s">
        <v>2121</v>
      </c>
      <c r="H74" s="1" t="str">
        <f t="shared" si="4"/>
        <v>CSEC</v>
      </c>
      <c r="I74" s="1" t="str">
        <f t="shared" si="6"/>
        <v>M.N.IT.W0.S11.S1.N.L.LE.F3.T._Z.EUR._T.M.V.N._T</v>
      </c>
      <c r="J74" s="4" t="str">
        <f t="shared" si="5"/>
        <v>CSEC.M.N.IT.W0.S11.S1.N.L.LE.F3.T._Z.EUR._T.M.V.N._T</v>
      </c>
    </row>
    <row r="75" spans="1:10" x14ac:dyDescent="0.2">
      <c r="A75" s="1" t="s">
        <v>2009</v>
      </c>
      <c r="B75" s="1">
        <v>1</v>
      </c>
      <c r="C75" s="1">
        <v>0</v>
      </c>
      <c r="D75" s="1" t="s">
        <v>102</v>
      </c>
      <c r="E75" s="1" t="s">
        <v>2122</v>
      </c>
      <c r="F75" s="1" t="s">
        <v>2450</v>
      </c>
      <c r="G75" s="1" t="s">
        <v>2123</v>
      </c>
      <c r="H75" s="1" t="str">
        <f t="shared" si="4"/>
        <v>CSEC</v>
      </c>
      <c r="I75" s="1" t="str">
        <f t="shared" si="6"/>
        <v>M.N.IT.W0.S12.S1.N.L.LE.F3.T._Z.EUR._T.M.V.N._T</v>
      </c>
      <c r="J75" s="4" t="str">
        <f t="shared" si="5"/>
        <v>CSEC.M.N.IT.W0.S12.S1.N.L.LE.F3.T._Z.EUR._T.M.V.N._T</v>
      </c>
    </row>
    <row r="76" spans="1:10" x14ac:dyDescent="0.2">
      <c r="A76" s="1" t="s">
        <v>2009</v>
      </c>
      <c r="B76" s="1">
        <v>1</v>
      </c>
      <c r="C76" s="1">
        <v>0</v>
      </c>
      <c r="D76" s="1" t="s">
        <v>102</v>
      </c>
      <c r="E76" s="1" t="s">
        <v>2359</v>
      </c>
      <c r="F76" s="1" t="s">
        <v>2451</v>
      </c>
      <c r="G76" s="1" t="s">
        <v>2124</v>
      </c>
      <c r="H76" s="1" t="str">
        <f t="shared" si="4"/>
        <v>CSEC</v>
      </c>
      <c r="I76" s="1" t="str">
        <f t="shared" si="6"/>
        <v>M.N.IT.W0.S13.S1.N.L.LE.F3.T._Z.EUR._T.M.V.N._T</v>
      </c>
      <c r="J76" s="4" t="str">
        <f t="shared" si="5"/>
        <v>CSEC.M.N.IT.W0.S13.S1.N.L.LE.F3.T._Z.EUR._T.M.V.N._T</v>
      </c>
    </row>
    <row r="77" spans="1:10" x14ac:dyDescent="0.2">
      <c r="A77" s="1" t="s">
        <v>2009</v>
      </c>
      <c r="B77" s="1">
        <v>1</v>
      </c>
      <c r="C77" s="1">
        <v>0</v>
      </c>
      <c r="D77" s="1" t="s">
        <v>102</v>
      </c>
      <c r="E77" s="1" t="s">
        <v>2125</v>
      </c>
      <c r="F77" s="1" t="s">
        <v>2452</v>
      </c>
      <c r="G77" s="1" t="s">
        <v>2126</v>
      </c>
      <c r="H77" s="1" t="str">
        <f t="shared" si="4"/>
        <v>CSEC</v>
      </c>
      <c r="I77" s="1" t="str">
        <f t="shared" si="6"/>
        <v>M.N.IT.W0.S1.S1.N.L.LE.F3.T._Z.EUR._T.M.V.N._T</v>
      </c>
      <c r="J77" s="4" t="str">
        <f t="shared" si="5"/>
        <v>CSEC.M.N.IT.W0.S1.S1.N.L.LE.F3.T._Z.EUR._T.M.V.N._T</v>
      </c>
    </row>
    <row r="78" spans="1:10" x14ac:dyDescent="0.2">
      <c r="A78" s="1" t="s">
        <v>2009</v>
      </c>
      <c r="B78" s="1">
        <v>1</v>
      </c>
      <c r="C78" s="1">
        <v>0</v>
      </c>
      <c r="D78" s="1" t="s">
        <v>102</v>
      </c>
      <c r="E78" s="1" t="s">
        <v>2081</v>
      </c>
      <c r="F78" s="1" t="s">
        <v>2402</v>
      </c>
      <c r="G78" s="1" t="s">
        <v>2090</v>
      </c>
      <c r="H78" s="1" t="str">
        <f t="shared" si="4"/>
        <v>MNA</v>
      </c>
      <c r="I78" s="1" t="str">
        <f t="shared" si="6"/>
        <v>Q.Y.IT.W2.S1.S1._Z.ULC_PS._Z._T._Z.IX.D.N</v>
      </c>
      <c r="J78" s="4" t="str">
        <f t="shared" si="5"/>
        <v>MNA.Q.Y.IT.W2.S1.S1._Z.ULC_PS._Z._T._Z.IX.D.N</v>
      </c>
    </row>
    <row r="79" spans="1:10" x14ac:dyDescent="0.2">
      <c r="A79" s="1" t="s">
        <v>2009</v>
      </c>
      <c r="B79" s="1">
        <v>1</v>
      </c>
      <c r="C79" s="1">
        <v>0</v>
      </c>
      <c r="D79" s="1" t="s">
        <v>102</v>
      </c>
      <c r="E79" s="1" t="s">
        <v>2042</v>
      </c>
      <c r="F79" s="1" t="s">
        <v>2404</v>
      </c>
      <c r="G79" s="1" t="s">
        <v>2043</v>
      </c>
      <c r="H79" s="1" t="str">
        <f t="shared" si="4"/>
        <v>LFSI</v>
      </c>
      <c r="I79" s="1" t="str">
        <f t="shared" si="6"/>
        <v>M.B6.N.UNEMPL.TOTAL0.15_74.T</v>
      </c>
      <c r="J79" s="4" t="str">
        <f t="shared" si="5"/>
        <v>LFSI.M.B6.N.UNEMPL.TOTAL0.15_74.T</v>
      </c>
    </row>
    <row r="80" spans="1:10" x14ac:dyDescent="0.2">
      <c r="A80" s="1" t="s">
        <v>2009</v>
      </c>
      <c r="B80" s="1">
        <v>1</v>
      </c>
      <c r="C80" s="1">
        <v>0</v>
      </c>
      <c r="D80" s="1" t="s">
        <v>102</v>
      </c>
      <c r="E80" s="1" t="s">
        <v>2042</v>
      </c>
      <c r="F80" s="1" t="s">
        <v>2404</v>
      </c>
      <c r="G80" s="1" t="s">
        <v>2044</v>
      </c>
      <c r="H80" s="1" t="str">
        <f t="shared" si="4"/>
        <v>LFSI</v>
      </c>
      <c r="I80" s="1" t="str">
        <f t="shared" si="6"/>
        <v>M.B6.S.UNEMPL.TOTAL0.15_74.T</v>
      </c>
      <c r="J80" s="4" t="str">
        <f t="shared" si="5"/>
        <v>LFSI.M.B6.S.UNEMPL.TOTAL0.15_74.T</v>
      </c>
    </row>
    <row r="81" spans="1:10" x14ac:dyDescent="0.2">
      <c r="A81" s="1" t="s">
        <v>2009</v>
      </c>
      <c r="B81" s="1">
        <v>1</v>
      </c>
      <c r="C81" s="1">
        <v>0</v>
      </c>
      <c r="D81" s="1" t="s">
        <v>102</v>
      </c>
      <c r="E81" s="1" t="s">
        <v>2042</v>
      </c>
      <c r="F81" s="1" t="s">
        <v>2405</v>
      </c>
      <c r="G81" s="1" t="s">
        <v>2045</v>
      </c>
      <c r="H81" s="1" t="str">
        <f t="shared" si="4"/>
        <v>LFSI</v>
      </c>
      <c r="I81" s="1" t="str">
        <f t="shared" si="6"/>
        <v>M.IT.N.UNEHRT.TOTAL0.15_74.T</v>
      </c>
      <c r="J81" s="4" t="str">
        <f t="shared" si="5"/>
        <v>LFSI.M.IT.N.UNEHRT.TOTAL0.15_74.T</v>
      </c>
    </row>
    <row r="82" spans="1:10" x14ac:dyDescent="0.2">
      <c r="A82" s="1" t="s">
        <v>2009</v>
      </c>
      <c r="B82" s="1">
        <v>1</v>
      </c>
      <c r="C82" s="1">
        <v>0</v>
      </c>
      <c r="D82" s="1" t="s">
        <v>102</v>
      </c>
      <c r="E82" s="1" t="s">
        <v>2042</v>
      </c>
      <c r="F82" s="1" t="s">
        <v>2405</v>
      </c>
      <c r="G82" s="1" t="s">
        <v>2046</v>
      </c>
      <c r="H82" s="1" t="str">
        <f t="shared" si="4"/>
        <v>LFSI</v>
      </c>
      <c r="I82" s="1" t="str">
        <f t="shared" si="6"/>
        <v>M.IT.S.UNEHRT.TOTAL0.15_74.T</v>
      </c>
      <c r="J82" s="4" t="str">
        <f t="shared" si="5"/>
        <v>LFSI.M.IT.S.UNEHRT.TOTAL0.15_74.T</v>
      </c>
    </row>
    <row r="83" spans="1:10" x14ac:dyDescent="0.2">
      <c r="A83" s="1" t="s">
        <v>2009</v>
      </c>
      <c r="B83" s="1">
        <v>1</v>
      </c>
      <c r="C83" s="1">
        <v>1</v>
      </c>
      <c r="D83" s="1" t="s">
        <v>2015</v>
      </c>
      <c r="E83" s="5" t="s">
        <v>2141</v>
      </c>
      <c r="F83" s="5" t="s">
        <v>2546</v>
      </c>
      <c r="G83" s="5" t="s">
        <v>2142</v>
      </c>
      <c r="H83" s="1" t="str">
        <f t="shared" si="4"/>
        <v>EXR</v>
      </c>
      <c r="I83" s="1" t="str">
        <f t="shared" si="6"/>
        <v>Q.E01.EUR.EN00.A</v>
      </c>
      <c r="J83" s="4" t="str">
        <f t="shared" si="5"/>
        <v>EXR.Q.E01.EUR.EN00.A</v>
      </c>
    </row>
    <row r="84" spans="1:10" x14ac:dyDescent="0.2">
      <c r="A84" s="1" t="s">
        <v>2009</v>
      </c>
      <c r="B84" s="1">
        <v>1</v>
      </c>
      <c r="C84" s="1">
        <v>1</v>
      </c>
      <c r="D84" s="1" t="s">
        <v>2015</v>
      </c>
      <c r="E84" s="5" t="s">
        <v>2143</v>
      </c>
      <c r="F84" s="5" t="s">
        <v>2536</v>
      </c>
      <c r="G84" s="5" t="s">
        <v>2144</v>
      </c>
      <c r="H84" s="1" t="str">
        <f t="shared" si="4"/>
        <v>EXR</v>
      </c>
      <c r="I84" s="1" t="str">
        <f t="shared" si="6"/>
        <v>Q.E01.EUR.ERP0.A</v>
      </c>
      <c r="J84" s="4" t="str">
        <f t="shared" si="5"/>
        <v>EXR.Q.E01.EUR.ERP0.A</v>
      </c>
    </row>
    <row r="85" spans="1:10" x14ac:dyDescent="0.2">
      <c r="A85" s="1" t="s">
        <v>2009</v>
      </c>
      <c r="B85" s="1">
        <v>1</v>
      </c>
      <c r="C85" s="1">
        <v>1</v>
      </c>
      <c r="D85" s="1" t="s">
        <v>2015</v>
      </c>
      <c r="E85" s="5" t="s">
        <v>2145</v>
      </c>
      <c r="F85" s="5" t="s">
        <v>2537</v>
      </c>
      <c r="G85" s="5" t="s">
        <v>2146</v>
      </c>
      <c r="H85" s="1" t="str">
        <f t="shared" si="4"/>
        <v>EXR</v>
      </c>
      <c r="I85" s="1" t="str">
        <f t="shared" si="6"/>
        <v>Q.E01.EUR.ERU1.A</v>
      </c>
      <c r="J85" s="4" t="str">
        <f t="shared" si="5"/>
        <v>EXR.Q.E01.EUR.ERU1.A</v>
      </c>
    </row>
    <row r="86" spans="1:10" x14ac:dyDescent="0.2">
      <c r="A86" s="1" t="s">
        <v>2009</v>
      </c>
      <c r="B86" s="1">
        <v>1</v>
      </c>
      <c r="C86" s="1">
        <v>1</v>
      </c>
      <c r="D86" s="1" t="s">
        <v>2015</v>
      </c>
      <c r="E86" s="5" t="s">
        <v>2147</v>
      </c>
      <c r="F86" s="5" t="s">
        <v>2538</v>
      </c>
      <c r="G86" s="5" t="s">
        <v>2148</v>
      </c>
      <c r="H86" s="1" t="str">
        <f t="shared" si="4"/>
        <v>EXR</v>
      </c>
      <c r="I86" s="1" t="str">
        <f t="shared" si="6"/>
        <v>Q.E02.EUR.EN00.A</v>
      </c>
      <c r="J86" s="4" t="str">
        <f t="shared" si="5"/>
        <v>EXR.Q.E02.EUR.EN00.A</v>
      </c>
    </row>
    <row r="87" spans="1:10" x14ac:dyDescent="0.2">
      <c r="A87" s="1" t="s">
        <v>2009</v>
      </c>
      <c r="B87" s="1">
        <v>1</v>
      </c>
      <c r="C87" s="1">
        <v>1</v>
      </c>
      <c r="D87" s="1" t="s">
        <v>2015</v>
      </c>
      <c r="E87" s="5" t="s">
        <v>2149</v>
      </c>
      <c r="F87" s="5" t="s">
        <v>2539</v>
      </c>
      <c r="G87" s="5" t="s">
        <v>2150</v>
      </c>
      <c r="H87" s="1" t="str">
        <f t="shared" si="4"/>
        <v>EXR</v>
      </c>
      <c r="I87" s="1" t="str">
        <f t="shared" si="6"/>
        <v>Q.E02.EUR.ERC0.A</v>
      </c>
      <c r="J87" s="4" t="str">
        <f t="shared" si="5"/>
        <v>EXR.Q.E02.EUR.ERC0.A</v>
      </c>
    </row>
    <row r="88" spans="1:10" x14ac:dyDescent="0.2">
      <c r="A88" s="1" t="s">
        <v>2009</v>
      </c>
      <c r="B88" s="1">
        <v>1</v>
      </c>
      <c r="C88" s="1">
        <v>1</v>
      </c>
      <c r="D88" s="1" t="s">
        <v>2015</v>
      </c>
      <c r="E88" s="5" t="s">
        <v>2151</v>
      </c>
      <c r="F88" s="5" t="s">
        <v>2540</v>
      </c>
      <c r="G88" s="5" t="s">
        <v>1960</v>
      </c>
      <c r="H88" s="1" t="str">
        <f t="shared" si="4"/>
        <v>EXR</v>
      </c>
      <c r="I88" s="1" t="str">
        <f t="shared" si="6"/>
        <v>Q.E02.EUR.ERD0.A</v>
      </c>
      <c r="J88" s="4" t="str">
        <f t="shared" si="5"/>
        <v>EXR.Q.E02.EUR.ERD0.A</v>
      </c>
    </row>
    <row r="89" spans="1:10" x14ac:dyDescent="0.2">
      <c r="A89" s="1" t="s">
        <v>2009</v>
      </c>
      <c r="B89" s="1">
        <v>1</v>
      </c>
      <c r="C89" s="1">
        <v>1</v>
      </c>
      <c r="D89" s="1" t="s">
        <v>2015</v>
      </c>
      <c r="E89" s="5" t="s">
        <v>2152</v>
      </c>
      <c r="F89" s="5" t="s">
        <v>2541</v>
      </c>
      <c r="G89" s="5" t="s">
        <v>2153</v>
      </c>
      <c r="H89" s="1" t="str">
        <f t="shared" si="4"/>
        <v>EXR</v>
      </c>
      <c r="I89" s="1" t="str">
        <f t="shared" si="6"/>
        <v>Q.E02.EUR.ERP0.A</v>
      </c>
      <c r="J89" s="4" t="str">
        <f t="shared" si="5"/>
        <v>EXR.Q.E02.EUR.ERP0.A</v>
      </c>
    </row>
    <row r="90" spans="1:10" x14ac:dyDescent="0.2">
      <c r="A90" s="1" t="s">
        <v>2009</v>
      </c>
      <c r="B90" s="1">
        <v>1</v>
      </c>
      <c r="C90" s="1">
        <v>1</v>
      </c>
      <c r="D90" s="1" t="s">
        <v>2015</v>
      </c>
      <c r="E90" s="5" t="s">
        <v>2159</v>
      </c>
      <c r="F90" s="5" t="s">
        <v>2542</v>
      </c>
      <c r="G90" s="5" t="s">
        <v>2160</v>
      </c>
      <c r="H90" s="1" t="str">
        <f t="shared" si="4"/>
        <v>EXR</v>
      </c>
      <c r="I90" s="1" t="str">
        <f t="shared" si="6"/>
        <v>Q.E02.EUR.ERU0.A</v>
      </c>
      <c r="J90" s="4" t="str">
        <f t="shared" si="5"/>
        <v>EXR.Q.E02.EUR.ERU0.A</v>
      </c>
    </row>
    <row r="91" spans="1:10" x14ac:dyDescent="0.2">
      <c r="A91" s="1" t="s">
        <v>2009</v>
      </c>
      <c r="B91" s="1">
        <v>1</v>
      </c>
      <c r="C91" s="1">
        <v>1</v>
      </c>
      <c r="D91" s="1" t="s">
        <v>2015</v>
      </c>
      <c r="E91" s="5" t="s">
        <v>2154</v>
      </c>
      <c r="F91" s="5" t="s">
        <v>2543</v>
      </c>
      <c r="G91" s="5" t="s">
        <v>1961</v>
      </c>
      <c r="H91" s="1" t="str">
        <f t="shared" si="4"/>
        <v>EXR</v>
      </c>
      <c r="I91" s="1" t="str">
        <f t="shared" si="6"/>
        <v>Q.E02.EUR.ERU1.A</v>
      </c>
      <c r="J91" s="4" t="str">
        <f t="shared" si="5"/>
        <v>EXR.Q.E02.EUR.ERU1.A</v>
      </c>
    </row>
    <row r="92" spans="1:10" x14ac:dyDescent="0.2">
      <c r="A92" s="1" t="s">
        <v>2009</v>
      </c>
      <c r="B92" s="1">
        <v>1</v>
      </c>
      <c r="C92" s="1">
        <v>1</v>
      </c>
      <c r="D92" s="1" t="s">
        <v>2015</v>
      </c>
      <c r="E92" s="5" t="s">
        <v>2155</v>
      </c>
      <c r="F92" s="5" t="s">
        <v>2544</v>
      </c>
      <c r="G92" s="5" t="s">
        <v>2156</v>
      </c>
      <c r="H92" s="1" t="str">
        <f t="shared" si="4"/>
        <v>EXR</v>
      </c>
      <c r="I92" s="1" t="str">
        <f t="shared" si="6"/>
        <v>Q.E03.EUR.EN00.A</v>
      </c>
      <c r="J92" s="4" t="str">
        <f t="shared" si="5"/>
        <v>EXR.Q.E03.EUR.EN00.A</v>
      </c>
    </row>
    <row r="93" spans="1:10" x14ac:dyDescent="0.2">
      <c r="A93" s="1" t="s">
        <v>2009</v>
      </c>
      <c r="B93" s="1">
        <v>1</v>
      </c>
      <c r="C93" s="1">
        <v>1</v>
      </c>
      <c r="D93" s="1" t="s">
        <v>2015</v>
      </c>
      <c r="E93" s="5" t="s">
        <v>2157</v>
      </c>
      <c r="F93" s="5" t="s">
        <v>2545</v>
      </c>
      <c r="G93" s="5" t="s">
        <v>2158</v>
      </c>
      <c r="H93" s="1" t="str">
        <f t="shared" si="4"/>
        <v>EXR</v>
      </c>
      <c r="I93" s="1" t="str">
        <f t="shared" si="6"/>
        <v>Q.E03.EUR.ERC0.A</v>
      </c>
      <c r="J93" s="4" t="str">
        <f t="shared" si="5"/>
        <v>EXR.Q.E03.EUR.ERC0.A</v>
      </c>
    </row>
    <row r="94" spans="1:10" x14ac:dyDescent="0.2">
      <c r="A94" s="1" t="s">
        <v>2009</v>
      </c>
      <c r="B94" s="1">
        <v>1</v>
      </c>
      <c r="C94" s="1">
        <v>2</v>
      </c>
      <c r="D94" s="1" t="s">
        <v>2659</v>
      </c>
      <c r="E94" s="5" t="s">
        <v>2138</v>
      </c>
      <c r="F94" s="5" t="s">
        <v>2453</v>
      </c>
      <c r="G94" s="5" t="s">
        <v>2139</v>
      </c>
      <c r="H94" s="1" t="str">
        <f t="shared" si="4"/>
        <v>STS</v>
      </c>
      <c r="I94" s="1" t="str">
        <f t="shared" si="6"/>
        <v>M.V5.N.PROD.NS0001.4.000</v>
      </c>
      <c r="J94" s="4" t="str">
        <f t="shared" si="5"/>
        <v>STS.M.V5.N.PROD.NS0001.4.000</v>
      </c>
    </row>
    <row r="95" spans="1:10" x14ac:dyDescent="0.2">
      <c r="A95" s="1" t="s">
        <v>2009</v>
      </c>
      <c r="B95" s="1">
        <v>1</v>
      </c>
      <c r="C95" s="1">
        <v>2</v>
      </c>
      <c r="D95" s="1" t="s">
        <v>2659</v>
      </c>
      <c r="E95" s="5" t="s">
        <v>2138</v>
      </c>
      <c r="F95" s="5" t="s">
        <v>2454</v>
      </c>
      <c r="G95" s="5" t="s">
        <v>2140</v>
      </c>
      <c r="H95" s="1" t="str">
        <f t="shared" si="4"/>
        <v>STS</v>
      </c>
      <c r="I95" s="1" t="str">
        <f t="shared" si="6"/>
        <v>M.V5.Y.PROD.NS0001.4.000</v>
      </c>
      <c r="J95" s="4" t="str">
        <f t="shared" si="5"/>
        <v>STS.M.V5.Y.PROD.NS0001.4.000</v>
      </c>
    </row>
    <row r="96" spans="1:10" s="5" customFormat="1" x14ac:dyDescent="0.2">
      <c r="A96" s="1" t="s">
        <v>2009</v>
      </c>
      <c r="B96" s="1">
        <v>1</v>
      </c>
      <c r="C96" s="1">
        <v>3</v>
      </c>
      <c r="D96" s="1" t="s">
        <v>2014</v>
      </c>
      <c r="E96" s="5" t="s">
        <v>2161</v>
      </c>
      <c r="F96" s="5" t="s">
        <v>2547</v>
      </c>
      <c r="G96" s="5" t="s">
        <v>2162</v>
      </c>
      <c r="H96" s="1" t="str">
        <f t="shared" si="4"/>
        <v>MIR</v>
      </c>
      <c r="I96" s="1" t="str">
        <f t="shared" si="6"/>
        <v>M.U2.B.L21.A.R.A.2230.EUR.N</v>
      </c>
      <c r="J96" s="4" t="str">
        <f t="shared" si="5"/>
        <v>MIR.M.U2.B.L21.A.R.A.2230.EUR.N</v>
      </c>
    </row>
    <row r="97" spans="1:10" s="5" customFormat="1" x14ac:dyDescent="0.2">
      <c r="A97" s="1" t="s">
        <v>2009</v>
      </c>
      <c r="B97" s="1">
        <v>1</v>
      </c>
      <c r="C97" s="1">
        <v>3</v>
      </c>
      <c r="D97" s="1" t="s">
        <v>2014</v>
      </c>
      <c r="E97" s="5" t="s">
        <v>2163</v>
      </c>
      <c r="F97" s="5" t="s">
        <v>2548</v>
      </c>
      <c r="G97" s="5" t="s">
        <v>1994</v>
      </c>
      <c r="H97" s="1" t="str">
        <f t="shared" si="4"/>
        <v>MIR</v>
      </c>
      <c r="I97" s="1" t="str">
        <f t="shared" si="6"/>
        <v>M.U2.B.L21.A.R.A.2240.EUR.N</v>
      </c>
      <c r="J97" s="4" t="str">
        <f t="shared" si="5"/>
        <v>MIR.M.U2.B.L21.A.R.A.2240.EUR.N</v>
      </c>
    </row>
    <row r="98" spans="1:10" s="5" customFormat="1" x14ac:dyDescent="0.2">
      <c r="A98" s="1" t="s">
        <v>2009</v>
      </c>
      <c r="B98" s="1">
        <v>1</v>
      </c>
      <c r="C98" s="1">
        <v>3</v>
      </c>
      <c r="D98" s="1" t="s">
        <v>2014</v>
      </c>
      <c r="E98" s="5" t="s">
        <v>2164</v>
      </c>
      <c r="F98" s="5" t="s">
        <v>2549</v>
      </c>
      <c r="G98" s="5" t="s">
        <v>1996</v>
      </c>
      <c r="H98" s="1" t="str">
        <f t="shared" si="4"/>
        <v>MIR</v>
      </c>
      <c r="I98" s="1" t="str">
        <f t="shared" si="6"/>
        <v>M.U2.B.L21.A.R.A.2250.EUR.N</v>
      </c>
      <c r="J98" s="4" t="str">
        <f t="shared" si="5"/>
        <v>MIR.M.U2.B.L21.A.R.A.2250.EUR.N</v>
      </c>
    </row>
    <row r="99" spans="1:10" s="5" customFormat="1" x14ac:dyDescent="0.2">
      <c r="A99" s="1" t="s">
        <v>2009</v>
      </c>
      <c r="B99" s="1">
        <v>1</v>
      </c>
      <c r="C99" s="1">
        <v>8</v>
      </c>
      <c r="D99" s="1" t="s">
        <v>2663</v>
      </c>
      <c r="E99" s="5" t="s">
        <v>2165</v>
      </c>
      <c r="F99" s="5" t="s">
        <v>2550</v>
      </c>
      <c r="G99" s="5" t="s">
        <v>2166</v>
      </c>
      <c r="H99" s="1" t="str">
        <f t="shared" si="4"/>
        <v>MIR</v>
      </c>
      <c r="I99" s="1" t="str">
        <f t="shared" si="6"/>
        <v>M.U2.B.L22.A.B.A.2230.EUR.N</v>
      </c>
      <c r="J99" s="4" t="str">
        <f t="shared" si="5"/>
        <v>MIR.M.U2.B.L22.A.B.A.2230.EUR.N</v>
      </c>
    </row>
    <row r="100" spans="1:10" s="5" customFormat="1" x14ac:dyDescent="0.2">
      <c r="A100" s="1" t="s">
        <v>2009</v>
      </c>
      <c r="B100" s="1">
        <v>1</v>
      </c>
      <c r="C100" s="1">
        <v>8</v>
      </c>
      <c r="D100" s="1" t="s">
        <v>2663</v>
      </c>
      <c r="E100" s="5" t="s">
        <v>2167</v>
      </c>
      <c r="F100" s="5" t="s">
        <v>2551</v>
      </c>
      <c r="G100" s="5" t="s">
        <v>2168</v>
      </c>
      <c r="H100" s="1" t="str">
        <f t="shared" si="4"/>
        <v>MIR</v>
      </c>
      <c r="I100" s="1" t="str">
        <f t="shared" si="6"/>
        <v>M.U2.B.L22.A.B.A.2240.EUR.N</v>
      </c>
      <c r="J100" s="4" t="str">
        <f t="shared" si="5"/>
        <v>MIR.M.U2.B.L22.A.B.A.2240.EUR.N</v>
      </c>
    </row>
    <row r="101" spans="1:10" s="5" customFormat="1" x14ac:dyDescent="0.2">
      <c r="A101" s="1" t="s">
        <v>2009</v>
      </c>
      <c r="B101" s="1">
        <v>1</v>
      </c>
      <c r="C101" s="1">
        <v>8</v>
      </c>
      <c r="D101" s="1" t="s">
        <v>2663</v>
      </c>
      <c r="E101" s="5" t="s">
        <v>2169</v>
      </c>
      <c r="F101" s="5" t="s">
        <v>2552</v>
      </c>
      <c r="G101" s="5" t="s">
        <v>2170</v>
      </c>
      <c r="H101" s="1" t="str">
        <f t="shared" si="4"/>
        <v>MIR</v>
      </c>
      <c r="I101" s="1" t="str">
        <f t="shared" si="6"/>
        <v>M.U2.B.L22.A.B.A.2250.EUR.N</v>
      </c>
      <c r="J101" s="4" t="str">
        <f t="shared" si="5"/>
        <v>MIR.M.U2.B.L22.A.B.A.2250.EUR.N</v>
      </c>
    </row>
    <row r="102" spans="1:10" s="5" customFormat="1" x14ac:dyDescent="0.2">
      <c r="A102" s="1" t="s">
        <v>2009</v>
      </c>
      <c r="B102" s="1">
        <v>1</v>
      </c>
      <c r="C102" s="1">
        <v>3</v>
      </c>
      <c r="D102" s="1" t="s">
        <v>2014</v>
      </c>
      <c r="E102" s="5" t="s">
        <v>2171</v>
      </c>
      <c r="F102" s="5" t="s">
        <v>2553</v>
      </c>
      <c r="G102" s="5" t="s">
        <v>2172</v>
      </c>
      <c r="H102" s="1" t="str">
        <f t="shared" si="4"/>
        <v>MIR</v>
      </c>
      <c r="I102" s="1" t="str">
        <f t="shared" si="6"/>
        <v>M.U2.B.L22.A.R.A.2230.EUR.N</v>
      </c>
      <c r="J102" s="4" t="str">
        <f t="shared" si="5"/>
        <v>MIR.M.U2.B.L22.A.R.A.2230.EUR.N</v>
      </c>
    </row>
    <row r="103" spans="1:10" s="5" customFormat="1" x14ac:dyDescent="0.2">
      <c r="A103" s="1" t="s">
        <v>2009</v>
      </c>
      <c r="B103" s="1">
        <v>1</v>
      </c>
      <c r="C103" s="1">
        <v>3</v>
      </c>
      <c r="D103" s="1" t="s">
        <v>2014</v>
      </c>
      <c r="E103" s="5" t="s">
        <v>2173</v>
      </c>
      <c r="F103" s="5" t="s">
        <v>2558</v>
      </c>
      <c r="G103" s="5" t="s">
        <v>2174</v>
      </c>
      <c r="H103" s="1" t="str">
        <f t="shared" si="4"/>
        <v>MIR</v>
      </c>
      <c r="I103" s="1" t="str">
        <f t="shared" si="6"/>
        <v>M.U2.B.L22.A.R.A.2230.EUR.O</v>
      </c>
      <c r="J103" s="4" t="str">
        <f t="shared" si="5"/>
        <v>MIR.M.U2.B.L22.A.R.A.2230.EUR.O</v>
      </c>
    </row>
    <row r="104" spans="1:10" s="5" customFormat="1" x14ac:dyDescent="0.2">
      <c r="A104" s="1" t="s">
        <v>2009</v>
      </c>
      <c r="B104" s="1">
        <v>1</v>
      </c>
      <c r="C104" s="1">
        <v>3</v>
      </c>
      <c r="D104" s="1" t="s">
        <v>2014</v>
      </c>
      <c r="E104" s="5" t="s">
        <v>2175</v>
      </c>
      <c r="F104" s="5" t="s">
        <v>2554</v>
      </c>
      <c r="G104" s="5" t="s">
        <v>1998</v>
      </c>
      <c r="H104" s="1" t="str">
        <f t="shared" si="4"/>
        <v>MIR</v>
      </c>
      <c r="I104" s="1" t="str">
        <f t="shared" si="6"/>
        <v>M.U2.B.L22.A.R.A.2240.EUR.N</v>
      </c>
      <c r="J104" s="4" t="str">
        <f t="shared" si="5"/>
        <v>MIR.M.U2.B.L22.A.R.A.2240.EUR.N</v>
      </c>
    </row>
    <row r="105" spans="1:10" s="5" customFormat="1" x14ac:dyDescent="0.2">
      <c r="A105" s="1" t="s">
        <v>2009</v>
      </c>
      <c r="B105" s="1">
        <v>1</v>
      </c>
      <c r="C105" s="1">
        <v>3</v>
      </c>
      <c r="D105" s="1" t="s">
        <v>2014</v>
      </c>
      <c r="E105" s="5" t="s">
        <v>2176</v>
      </c>
      <c r="F105" s="5" t="s">
        <v>2556</v>
      </c>
      <c r="G105" s="5" t="s">
        <v>2177</v>
      </c>
      <c r="H105" s="1" t="str">
        <f t="shared" si="4"/>
        <v>MIR</v>
      </c>
      <c r="I105" s="1" t="str">
        <f t="shared" si="6"/>
        <v>M.U2.B.L22.A.R.A.2240.EUR.O</v>
      </c>
      <c r="J105" s="4" t="str">
        <f t="shared" si="5"/>
        <v>MIR.M.U2.B.L22.A.R.A.2240.EUR.O</v>
      </c>
    </row>
    <row r="106" spans="1:10" s="5" customFormat="1" x14ac:dyDescent="0.2">
      <c r="A106" s="1" t="s">
        <v>2009</v>
      </c>
      <c r="B106" s="1">
        <v>1</v>
      </c>
      <c r="C106" s="1">
        <v>3</v>
      </c>
      <c r="D106" s="1" t="s">
        <v>2014</v>
      </c>
      <c r="E106" s="5" t="s">
        <v>2178</v>
      </c>
      <c r="F106" s="5" t="s">
        <v>2555</v>
      </c>
      <c r="G106" s="5" t="s">
        <v>2000</v>
      </c>
      <c r="H106" s="1" t="str">
        <f t="shared" si="4"/>
        <v>MIR</v>
      </c>
      <c r="I106" s="1" t="str">
        <f t="shared" si="6"/>
        <v>M.U2.B.L22.A.R.A.2250.EUR.N</v>
      </c>
      <c r="J106" s="4" t="str">
        <f t="shared" si="5"/>
        <v>MIR.M.U2.B.L22.A.R.A.2250.EUR.N</v>
      </c>
    </row>
    <row r="107" spans="1:10" s="5" customFormat="1" x14ac:dyDescent="0.2">
      <c r="A107" s="1" t="s">
        <v>2009</v>
      </c>
      <c r="B107" s="1">
        <v>1</v>
      </c>
      <c r="C107" s="1">
        <v>3</v>
      </c>
      <c r="D107" s="1" t="s">
        <v>2014</v>
      </c>
      <c r="E107" s="5" t="s">
        <v>2179</v>
      </c>
      <c r="F107" s="5" t="s">
        <v>2557</v>
      </c>
      <c r="G107" s="5" t="s">
        <v>2180</v>
      </c>
      <c r="H107" s="1" t="str">
        <f t="shared" ref="H107:H162" si="7">LEFT(G107,FIND(".",G107)-1)</f>
        <v>MIR</v>
      </c>
      <c r="I107" s="1" t="str">
        <f t="shared" si="6"/>
        <v>M.U2.B.L22.A.R.A.2250.EUR.O</v>
      </c>
      <c r="J107" s="4" t="str">
        <f t="shared" ref="J107:J170" si="8">+HYPERLINK("https://data.ecb.europa.eu/data/datasets/"&amp;H107&amp;"/"&amp;G107,G107)</f>
        <v>MIR.M.U2.B.L22.A.R.A.2250.EUR.O</v>
      </c>
    </row>
    <row r="108" spans="1:10" s="5" customFormat="1" x14ac:dyDescent="0.2">
      <c r="A108" s="1" t="s">
        <v>2009</v>
      </c>
      <c r="B108" s="1">
        <v>1</v>
      </c>
      <c r="C108" s="1">
        <v>3</v>
      </c>
      <c r="D108" s="1" t="s">
        <v>2014</v>
      </c>
      <c r="E108" s="5" t="s">
        <v>2181</v>
      </c>
      <c r="F108" s="5" t="s">
        <v>2559</v>
      </c>
      <c r="G108" s="5" t="s">
        <v>2182</v>
      </c>
      <c r="H108" s="1" t="str">
        <f t="shared" si="7"/>
        <v>MIR</v>
      </c>
      <c r="I108" s="1" t="str">
        <f t="shared" ref="I108:I163" si="9">RIGHT(G108,LEN(G108)-FIND(".",G108))</f>
        <v>M.U2.B.L23.A.R.A.2250.EUR.N</v>
      </c>
      <c r="J108" s="4" t="str">
        <f t="shared" si="8"/>
        <v>MIR.M.U2.B.L23.A.R.A.2250.EUR.N</v>
      </c>
    </row>
    <row r="109" spans="1:10" s="5" customFormat="1" x14ac:dyDescent="0.2">
      <c r="A109" s="1" t="s">
        <v>2009</v>
      </c>
      <c r="B109" s="1">
        <v>1</v>
      </c>
      <c r="C109" s="1">
        <v>8</v>
      </c>
      <c r="D109" s="1" t="s">
        <v>2663</v>
      </c>
      <c r="E109" s="5" t="s">
        <v>2664</v>
      </c>
      <c r="F109" s="5" t="s">
        <v>2560</v>
      </c>
      <c r="G109" s="5" t="s">
        <v>2183</v>
      </c>
      <c r="H109" s="1" t="str">
        <f t="shared" si="7"/>
        <v>MIR</v>
      </c>
      <c r="I109" s="1" t="str">
        <f t="shared" si="9"/>
        <v>M.U2.B.L24.A.B.A.2230.EUR.N</v>
      </c>
      <c r="J109" s="4" t="str">
        <f t="shared" si="8"/>
        <v>MIR.M.U2.B.L24.A.B.A.2230.EUR.N</v>
      </c>
    </row>
    <row r="110" spans="1:10" s="5" customFormat="1" x14ac:dyDescent="0.2">
      <c r="A110" s="1" t="s">
        <v>2009</v>
      </c>
      <c r="B110" s="1">
        <v>1</v>
      </c>
      <c r="C110" s="1">
        <v>3</v>
      </c>
      <c r="D110" s="1" t="s">
        <v>2014</v>
      </c>
      <c r="E110" s="5" t="s">
        <v>2184</v>
      </c>
      <c r="F110" s="5" t="s">
        <v>2561</v>
      </c>
      <c r="G110" s="5" t="s">
        <v>2185</v>
      </c>
      <c r="H110" s="1" t="str">
        <f t="shared" si="7"/>
        <v>MIR</v>
      </c>
      <c r="I110" s="1" t="str">
        <f t="shared" si="9"/>
        <v>M.U2.B.L24.A.R.A.2230.EUR.N</v>
      </c>
      <c r="J110" s="4" t="str">
        <f t="shared" si="8"/>
        <v>MIR.M.U2.B.L24.A.R.A.2230.EUR.N</v>
      </c>
    </row>
    <row r="111" spans="1:10" s="5" customFormat="1" x14ac:dyDescent="0.2">
      <c r="A111" s="1" t="s">
        <v>2009</v>
      </c>
      <c r="B111" s="1">
        <v>1</v>
      </c>
      <c r="C111" s="1">
        <v>3</v>
      </c>
      <c r="D111" s="1" t="s">
        <v>2014</v>
      </c>
      <c r="E111" s="5" t="s">
        <v>2186</v>
      </c>
      <c r="F111" s="5" t="s">
        <v>2562</v>
      </c>
      <c r="G111" s="5" t="s">
        <v>2187</v>
      </c>
      <c r="H111" s="1" t="str">
        <f t="shared" si="7"/>
        <v>MIR</v>
      </c>
      <c r="I111" s="1" t="str">
        <f t="shared" si="9"/>
        <v>M.U2.B.L24.A.R.A.2230.EUR.O</v>
      </c>
      <c r="J111" s="4" t="str">
        <f t="shared" si="8"/>
        <v>MIR.M.U2.B.L24.A.R.A.2230.EUR.O</v>
      </c>
    </row>
    <row r="112" spans="1:10" s="5" customFormat="1" x14ac:dyDescent="0.2">
      <c r="A112" s="1" t="s">
        <v>2009</v>
      </c>
      <c r="B112" s="1">
        <v>1</v>
      </c>
      <c r="C112" s="1">
        <v>3</v>
      </c>
      <c r="D112" s="1" t="s">
        <v>2014</v>
      </c>
      <c r="E112" s="5" t="s">
        <v>2188</v>
      </c>
      <c r="F112" s="5" t="s">
        <v>2563</v>
      </c>
      <c r="G112" s="5" t="s">
        <v>2189</v>
      </c>
      <c r="H112" s="1" t="str">
        <f t="shared" si="7"/>
        <v>MIR</v>
      </c>
      <c r="I112" s="1" t="str">
        <f t="shared" si="9"/>
        <v>M.DE.B.L21.A.R.A.2230.EUR.N</v>
      </c>
      <c r="J112" s="4" t="str">
        <f t="shared" si="8"/>
        <v>MIR.M.DE.B.L21.A.R.A.2230.EUR.N</v>
      </c>
    </row>
    <row r="113" spans="1:10" s="5" customFormat="1" x14ac:dyDescent="0.2">
      <c r="A113" s="1" t="s">
        <v>2009</v>
      </c>
      <c r="B113" s="1">
        <v>1</v>
      </c>
      <c r="C113" s="1">
        <v>3</v>
      </c>
      <c r="D113" s="1" t="s">
        <v>2014</v>
      </c>
      <c r="E113" s="5" t="s">
        <v>2190</v>
      </c>
      <c r="F113" s="5" t="s">
        <v>2564</v>
      </c>
      <c r="G113" s="5" t="s">
        <v>2191</v>
      </c>
      <c r="H113" s="1" t="str">
        <f t="shared" si="7"/>
        <v>MIR</v>
      </c>
      <c r="I113" s="1" t="str">
        <f t="shared" si="9"/>
        <v>M.DE.B.L21.A.R.A.2240.EUR.N</v>
      </c>
      <c r="J113" s="4" t="str">
        <f t="shared" si="8"/>
        <v>MIR.M.DE.B.L21.A.R.A.2240.EUR.N</v>
      </c>
    </row>
    <row r="114" spans="1:10" s="5" customFormat="1" x14ac:dyDescent="0.2">
      <c r="A114" s="1" t="s">
        <v>2009</v>
      </c>
      <c r="B114" s="1">
        <v>1</v>
      </c>
      <c r="C114" s="1">
        <v>3</v>
      </c>
      <c r="D114" s="1" t="s">
        <v>2014</v>
      </c>
      <c r="E114" s="5" t="s">
        <v>2192</v>
      </c>
      <c r="F114" s="5" t="s">
        <v>2565</v>
      </c>
      <c r="G114" s="5" t="s">
        <v>2193</v>
      </c>
      <c r="H114" s="1" t="str">
        <f t="shared" si="7"/>
        <v>MIR</v>
      </c>
      <c r="I114" s="1" t="str">
        <f t="shared" si="9"/>
        <v>M.DE.B.L21.A.R.A.2250.EUR.N</v>
      </c>
      <c r="J114" s="4" t="str">
        <f t="shared" si="8"/>
        <v>MIR.M.DE.B.L21.A.R.A.2250.EUR.N</v>
      </c>
    </row>
    <row r="115" spans="1:10" s="5" customFormat="1" x14ac:dyDescent="0.2">
      <c r="A115" s="1" t="s">
        <v>2009</v>
      </c>
      <c r="B115" s="1">
        <v>1</v>
      </c>
      <c r="C115" s="1">
        <v>8</v>
      </c>
      <c r="D115" s="1" t="s">
        <v>2663</v>
      </c>
      <c r="E115" s="5" t="s">
        <v>2194</v>
      </c>
      <c r="F115" s="5" t="s">
        <v>2566</v>
      </c>
      <c r="G115" s="5" t="s">
        <v>2195</v>
      </c>
      <c r="H115" s="1" t="str">
        <f t="shared" si="7"/>
        <v>MIR</v>
      </c>
      <c r="I115" s="1" t="str">
        <f t="shared" si="9"/>
        <v>M.DE.B.L22.A.B.A.2240.EUR.N</v>
      </c>
      <c r="J115" s="4" t="str">
        <f t="shared" si="8"/>
        <v>MIR.M.DE.B.L22.A.B.A.2240.EUR.N</v>
      </c>
    </row>
    <row r="116" spans="1:10" s="5" customFormat="1" x14ac:dyDescent="0.2">
      <c r="A116" s="1" t="s">
        <v>2009</v>
      </c>
      <c r="B116" s="1">
        <v>1</v>
      </c>
      <c r="C116" s="1">
        <v>8</v>
      </c>
      <c r="D116" s="1" t="s">
        <v>2663</v>
      </c>
      <c r="E116" s="5" t="s">
        <v>2196</v>
      </c>
      <c r="F116" s="5" t="s">
        <v>2567</v>
      </c>
      <c r="G116" s="5" t="s">
        <v>2197</v>
      </c>
      <c r="H116" s="1" t="str">
        <f t="shared" si="7"/>
        <v>MIR</v>
      </c>
      <c r="I116" s="1" t="str">
        <f t="shared" si="9"/>
        <v>M.DE.B.L22.A.B.A.2250.EUR.N</v>
      </c>
      <c r="J116" s="4" t="str">
        <f t="shared" si="8"/>
        <v>MIR.M.DE.B.L22.A.B.A.2250.EUR.N</v>
      </c>
    </row>
    <row r="117" spans="1:10" s="5" customFormat="1" x14ac:dyDescent="0.2">
      <c r="A117" s="1" t="s">
        <v>2009</v>
      </c>
      <c r="B117" s="1">
        <v>1</v>
      </c>
      <c r="C117" s="1">
        <v>3</v>
      </c>
      <c r="D117" s="1" t="s">
        <v>2014</v>
      </c>
      <c r="E117" s="5" t="s">
        <v>2198</v>
      </c>
      <c r="F117" s="5" t="s">
        <v>2568</v>
      </c>
      <c r="G117" s="5" t="s">
        <v>2199</v>
      </c>
      <c r="H117" s="1" t="str">
        <f t="shared" si="7"/>
        <v>MIR</v>
      </c>
      <c r="I117" s="1" t="str">
        <f t="shared" si="9"/>
        <v>M.DE.B.L22.A.R.A.2230.EUR.N</v>
      </c>
      <c r="J117" s="4" t="str">
        <f t="shared" si="8"/>
        <v>MIR.M.DE.B.L22.A.R.A.2230.EUR.N</v>
      </c>
    </row>
    <row r="118" spans="1:10" s="5" customFormat="1" x14ac:dyDescent="0.2">
      <c r="A118" s="1" t="s">
        <v>2009</v>
      </c>
      <c r="B118" s="1">
        <v>1</v>
      </c>
      <c r="C118" s="1">
        <v>3</v>
      </c>
      <c r="D118" s="1" t="s">
        <v>2014</v>
      </c>
      <c r="E118" s="5" t="s">
        <v>2200</v>
      </c>
      <c r="F118" s="5" t="s">
        <v>2569</v>
      </c>
      <c r="G118" s="5" t="s">
        <v>2201</v>
      </c>
      <c r="H118" s="1" t="str">
        <f t="shared" si="7"/>
        <v>MIR</v>
      </c>
      <c r="I118" s="1" t="str">
        <f t="shared" si="9"/>
        <v>M.DE.B.L22.A.R.A.2230.EUR.O</v>
      </c>
      <c r="J118" s="4" t="str">
        <f t="shared" si="8"/>
        <v>MIR.M.DE.B.L22.A.R.A.2230.EUR.O</v>
      </c>
    </row>
    <row r="119" spans="1:10" s="5" customFormat="1" x14ac:dyDescent="0.2">
      <c r="A119" s="1" t="s">
        <v>2009</v>
      </c>
      <c r="B119" s="1">
        <v>1</v>
      </c>
      <c r="C119" s="1">
        <v>3</v>
      </c>
      <c r="D119" s="1" t="s">
        <v>2014</v>
      </c>
      <c r="E119" s="5" t="s">
        <v>2202</v>
      </c>
      <c r="F119" s="5" t="s">
        <v>2570</v>
      </c>
      <c r="G119" s="5" t="s">
        <v>2203</v>
      </c>
      <c r="H119" s="1" t="str">
        <f t="shared" si="7"/>
        <v>MIR</v>
      </c>
      <c r="I119" s="1" t="str">
        <f t="shared" si="9"/>
        <v>M.DE.B.L22.A.R.A.2240.EUR.N</v>
      </c>
      <c r="J119" s="4" t="str">
        <f t="shared" si="8"/>
        <v>MIR.M.DE.B.L22.A.R.A.2240.EUR.N</v>
      </c>
    </row>
    <row r="120" spans="1:10" s="5" customFormat="1" x14ac:dyDescent="0.2">
      <c r="A120" s="1" t="s">
        <v>2009</v>
      </c>
      <c r="B120" s="1">
        <v>1</v>
      </c>
      <c r="C120" s="1">
        <v>3</v>
      </c>
      <c r="D120" s="1" t="s">
        <v>2014</v>
      </c>
      <c r="E120" s="5" t="s">
        <v>2204</v>
      </c>
      <c r="F120" s="5" t="s">
        <v>2571</v>
      </c>
      <c r="G120" s="5" t="s">
        <v>2205</v>
      </c>
      <c r="H120" s="1" t="str">
        <f t="shared" si="7"/>
        <v>MIR</v>
      </c>
      <c r="I120" s="1" t="str">
        <f t="shared" si="9"/>
        <v>M.DE.B.L22.A.R.A.2240.EUR.O</v>
      </c>
      <c r="J120" s="4" t="str">
        <f t="shared" si="8"/>
        <v>MIR.M.DE.B.L22.A.R.A.2240.EUR.O</v>
      </c>
    </row>
    <row r="121" spans="1:10" s="5" customFormat="1" x14ac:dyDescent="0.2">
      <c r="A121" s="1" t="s">
        <v>2009</v>
      </c>
      <c r="B121" s="1">
        <v>1</v>
      </c>
      <c r="C121" s="1">
        <v>3</v>
      </c>
      <c r="D121" s="1" t="s">
        <v>2014</v>
      </c>
      <c r="E121" s="5" t="s">
        <v>2206</v>
      </c>
      <c r="F121" s="5" t="s">
        <v>2572</v>
      </c>
      <c r="G121" s="5" t="s">
        <v>2207</v>
      </c>
      <c r="H121" s="1" t="str">
        <f t="shared" si="7"/>
        <v>MIR</v>
      </c>
      <c r="I121" s="1" t="str">
        <f t="shared" si="9"/>
        <v>M.DE.B.L22.A.R.A.2250.EUR.N</v>
      </c>
      <c r="J121" s="4" t="str">
        <f t="shared" si="8"/>
        <v>MIR.M.DE.B.L22.A.R.A.2250.EUR.N</v>
      </c>
    </row>
    <row r="122" spans="1:10" s="5" customFormat="1" x14ac:dyDescent="0.2">
      <c r="A122" s="1" t="s">
        <v>2009</v>
      </c>
      <c r="B122" s="1">
        <v>1</v>
      </c>
      <c r="C122" s="1">
        <v>3</v>
      </c>
      <c r="D122" s="1" t="s">
        <v>2014</v>
      </c>
      <c r="E122" s="5" t="s">
        <v>2208</v>
      </c>
      <c r="F122" s="5" t="s">
        <v>2573</v>
      </c>
      <c r="G122" s="5" t="s">
        <v>2209</v>
      </c>
      <c r="H122" s="1" t="str">
        <f t="shared" si="7"/>
        <v>MIR</v>
      </c>
      <c r="I122" s="1" t="str">
        <f t="shared" si="9"/>
        <v>M.DE.B.L22.A.R.A.2250.EUR.O</v>
      </c>
      <c r="J122" s="4" t="str">
        <f t="shared" si="8"/>
        <v>MIR.M.DE.B.L22.A.R.A.2250.EUR.O</v>
      </c>
    </row>
    <row r="123" spans="1:10" s="5" customFormat="1" x14ac:dyDescent="0.2">
      <c r="A123" s="1" t="s">
        <v>2009</v>
      </c>
      <c r="B123" s="1">
        <v>1</v>
      </c>
      <c r="C123" s="1">
        <v>3</v>
      </c>
      <c r="D123" s="1" t="s">
        <v>2014</v>
      </c>
      <c r="E123" s="5" t="s">
        <v>2210</v>
      </c>
      <c r="F123" s="5" t="s">
        <v>2574</v>
      </c>
      <c r="G123" s="5" t="s">
        <v>2211</v>
      </c>
      <c r="H123" s="1" t="str">
        <f t="shared" si="7"/>
        <v>MIR</v>
      </c>
      <c r="I123" s="1" t="str">
        <f t="shared" si="9"/>
        <v>M.DE.B.L23.A.R.A.2250.EUR.N</v>
      </c>
      <c r="J123" s="4" t="str">
        <f t="shared" si="8"/>
        <v>MIR.M.DE.B.L23.A.R.A.2250.EUR.N</v>
      </c>
    </row>
    <row r="124" spans="1:10" s="5" customFormat="1" x14ac:dyDescent="0.2">
      <c r="A124" s="1" t="s">
        <v>2009</v>
      </c>
      <c r="B124" s="1">
        <v>1</v>
      </c>
      <c r="C124" s="1">
        <v>8</v>
      </c>
      <c r="D124" s="1" t="s">
        <v>2663</v>
      </c>
      <c r="E124" s="5" t="s">
        <v>2212</v>
      </c>
      <c r="F124" s="5" t="s">
        <v>2575</v>
      </c>
      <c r="G124" s="5" t="s">
        <v>2213</v>
      </c>
      <c r="H124" s="1" t="str">
        <f t="shared" si="7"/>
        <v>MIR</v>
      </c>
      <c r="I124" s="1" t="str">
        <f t="shared" si="9"/>
        <v>M.DE.B.L24.A.B.A.2230.EUR.N</v>
      </c>
      <c r="J124" s="4" t="str">
        <f t="shared" si="8"/>
        <v>MIR.M.DE.B.L24.A.B.A.2230.EUR.N</v>
      </c>
    </row>
    <row r="125" spans="1:10" s="5" customFormat="1" x14ac:dyDescent="0.2">
      <c r="A125" s="1" t="s">
        <v>2009</v>
      </c>
      <c r="B125" s="1">
        <v>1</v>
      </c>
      <c r="C125" s="1">
        <v>3</v>
      </c>
      <c r="D125" s="1" t="s">
        <v>2014</v>
      </c>
      <c r="E125" s="5" t="s">
        <v>2214</v>
      </c>
      <c r="F125" s="5" t="s">
        <v>2576</v>
      </c>
      <c r="G125" s="5" t="s">
        <v>2215</v>
      </c>
      <c r="H125" s="1" t="str">
        <f t="shared" si="7"/>
        <v>MIR</v>
      </c>
      <c r="I125" s="1" t="str">
        <f t="shared" si="9"/>
        <v>M.DE.B.L24.A.R.A.2230.EUR.N</v>
      </c>
      <c r="J125" s="4" t="str">
        <f t="shared" si="8"/>
        <v>MIR.M.DE.B.L24.A.R.A.2230.EUR.N</v>
      </c>
    </row>
    <row r="126" spans="1:10" s="5" customFormat="1" x14ac:dyDescent="0.2">
      <c r="A126" s="1" t="s">
        <v>2009</v>
      </c>
      <c r="B126" s="1">
        <v>1</v>
      </c>
      <c r="C126" s="1">
        <v>3</v>
      </c>
      <c r="D126" s="1" t="s">
        <v>2014</v>
      </c>
      <c r="E126" s="5" t="s">
        <v>2216</v>
      </c>
      <c r="F126" s="5" t="s">
        <v>2577</v>
      </c>
      <c r="G126" s="5" t="s">
        <v>2217</v>
      </c>
      <c r="H126" s="1" t="str">
        <f t="shared" si="7"/>
        <v>MIR</v>
      </c>
      <c r="I126" s="1" t="str">
        <f t="shared" si="9"/>
        <v>M.DE.B.L24.A.R.A.2230.EUR.O</v>
      </c>
      <c r="J126" s="4" t="str">
        <f t="shared" si="8"/>
        <v>MIR.M.DE.B.L24.A.R.A.2230.EUR.O</v>
      </c>
    </row>
    <row r="127" spans="1:10" s="5" customFormat="1" x14ac:dyDescent="0.2">
      <c r="A127" s="1" t="s">
        <v>2009</v>
      </c>
      <c r="B127" s="1">
        <v>1</v>
      </c>
      <c r="C127" s="1">
        <v>3</v>
      </c>
      <c r="D127" s="1" t="s">
        <v>2014</v>
      </c>
      <c r="E127" s="5" t="s">
        <v>2218</v>
      </c>
      <c r="F127" s="5" t="s">
        <v>2578</v>
      </c>
      <c r="G127" s="5" t="s">
        <v>2219</v>
      </c>
      <c r="H127" s="1" t="str">
        <f t="shared" si="7"/>
        <v>MIR</v>
      </c>
      <c r="I127" s="1" t="str">
        <f t="shared" si="9"/>
        <v>M.IT.B.L21.A.R.A.2230.EUR.N</v>
      </c>
      <c r="J127" s="4" t="str">
        <f t="shared" si="8"/>
        <v>MIR.M.IT.B.L21.A.R.A.2230.EUR.N</v>
      </c>
    </row>
    <row r="128" spans="1:10" s="5" customFormat="1" x14ac:dyDescent="0.2">
      <c r="A128" s="1" t="s">
        <v>2009</v>
      </c>
      <c r="B128" s="1">
        <v>1</v>
      </c>
      <c r="C128" s="1">
        <v>3</v>
      </c>
      <c r="D128" s="1" t="s">
        <v>2014</v>
      </c>
      <c r="E128" s="5" t="s">
        <v>2220</v>
      </c>
      <c r="F128" s="5" t="s">
        <v>2579</v>
      </c>
      <c r="G128" s="5" t="s">
        <v>2221</v>
      </c>
      <c r="H128" s="1" t="str">
        <f t="shared" si="7"/>
        <v>MIR</v>
      </c>
      <c r="I128" s="1" t="str">
        <f t="shared" si="9"/>
        <v>M.IT.B.L21.A.R.A.2240.EUR.N</v>
      </c>
      <c r="J128" s="4" t="str">
        <f t="shared" si="8"/>
        <v>MIR.M.IT.B.L21.A.R.A.2240.EUR.N</v>
      </c>
    </row>
    <row r="129" spans="1:10" s="5" customFormat="1" x14ac:dyDescent="0.2">
      <c r="A129" s="1" t="s">
        <v>2009</v>
      </c>
      <c r="B129" s="1">
        <v>1</v>
      </c>
      <c r="C129" s="1">
        <v>3</v>
      </c>
      <c r="D129" s="1" t="s">
        <v>2014</v>
      </c>
      <c r="E129" s="5" t="s">
        <v>2222</v>
      </c>
      <c r="F129" s="5" t="s">
        <v>2580</v>
      </c>
      <c r="G129" s="5" t="s">
        <v>2223</v>
      </c>
      <c r="H129" s="1" t="str">
        <f t="shared" si="7"/>
        <v>MIR</v>
      </c>
      <c r="I129" s="1" t="str">
        <f t="shared" si="9"/>
        <v>M.IT.B.L21.A.R.A.2250.EUR.N</v>
      </c>
      <c r="J129" s="4" t="str">
        <f t="shared" si="8"/>
        <v>MIR.M.IT.B.L21.A.R.A.2250.EUR.N</v>
      </c>
    </row>
    <row r="130" spans="1:10" s="5" customFormat="1" x14ac:dyDescent="0.2">
      <c r="A130" s="1" t="s">
        <v>2009</v>
      </c>
      <c r="B130" s="1">
        <v>1</v>
      </c>
      <c r="C130" s="1">
        <v>8</v>
      </c>
      <c r="D130" s="1" t="s">
        <v>2663</v>
      </c>
      <c r="E130" s="5" t="s">
        <v>2224</v>
      </c>
      <c r="F130" s="5" t="s">
        <v>2581</v>
      </c>
      <c r="G130" s="5" t="s">
        <v>2225</v>
      </c>
      <c r="H130" s="1" t="str">
        <f t="shared" si="7"/>
        <v>MIR</v>
      </c>
      <c r="I130" s="1" t="str">
        <f t="shared" si="9"/>
        <v>M.IT.B.L22.A.B.A.2240.EUR.N</v>
      </c>
      <c r="J130" s="4" t="str">
        <f t="shared" si="8"/>
        <v>MIR.M.IT.B.L22.A.B.A.2240.EUR.N</v>
      </c>
    </row>
    <row r="131" spans="1:10" s="5" customFormat="1" x14ac:dyDescent="0.2">
      <c r="A131" s="1" t="s">
        <v>2009</v>
      </c>
      <c r="B131" s="1">
        <v>1</v>
      </c>
      <c r="C131" s="1">
        <v>8</v>
      </c>
      <c r="D131" s="1" t="s">
        <v>2663</v>
      </c>
      <c r="E131" s="5" t="s">
        <v>2226</v>
      </c>
      <c r="F131" s="5" t="s">
        <v>2582</v>
      </c>
      <c r="G131" s="5" t="s">
        <v>2227</v>
      </c>
      <c r="H131" s="1" t="str">
        <f t="shared" si="7"/>
        <v>MIR</v>
      </c>
      <c r="I131" s="1" t="str">
        <f t="shared" si="9"/>
        <v>M.IT.B.L22.A.B.A.2250.EUR.N</v>
      </c>
      <c r="J131" s="4" t="str">
        <f t="shared" si="8"/>
        <v>MIR.M.IT.B.L22.A.B.A.2250.EUR.N</v>
      </c>
    </row>
    <row r="132" spans="1:10" s="5" customFormat="1" x14ac:dyDescent="0.2">
      <c r="A132" s="1" t="s">
        <v>2009</v>
      </c>
      <c r="B132" s="1">
        <v>1</v>
      </c>
      <c r="C132" s="1">
        <v>3</v>
      </c>
      <c r="D132" s="1" t="s">
        <v>2014</v>
      </c>
      <c r="E132" s="5" t="s">
        <v>2228</v>
      </c>
      <c r="F132" s="5" t="s">
        <v>2583</v>
      </c>
      <c r="G132" s="5" t="s">
        <v>2229</v>
      </c>
      <c r="H132" s="1" t="str">
        <f t="shared" si="7"/>
        <v>MIR</v>
      </c>
      <c r="I132" s="1" t="str">
        <f t="shared" si="9"/>
        <v>M.IT.B.L22.A.R.A.2230.EUR.N</v>
      </c>
      <c r="J132" s="4" t="str">
        <f t="shared" si="8"/>
        <v>MIR.M.IT.B.L22.A.R.A.2230.EUR.N</v>
      </c>
    </row>
    <row r="133" spans="1:10" s="5" customFormat="1" x14ac:dyDescent="0.2">
      <c r="A133" s="1" t="s">
        <v>2009</v>
      </c>
      <c r="B133" s="1">
        <v>1</v>
      </c>
      <c r="C133" s="1">
        <v>3</v>
      </c>
      <c r="D133" s="1" t="s">
        <v>2014</v>
      </c>
      <c r="E133" s="5" t="s">
        <v>2230</v>
      </c>
      <c r="F133" s="5" t="s">
        <v>2584</v>
      </c>
      <c r="G133" s="5" t="s">
        <v>2231</v>
      </c>
      <c r="H133" s="1" t="str">
        <f t="shared" si="7"/>
        <v>MIR</v>
      </c>
      <c r="I133" s="1" t="str">
        <f t="shared" si="9"/>
        <v>M.IT.B.L22.A.R.A.2230.EUR.O</v>
      </c>
      <c r="J133" s="4" t="str">
        <f t="shared" si="8"/>
        <v>MIR.M.IT.B.L22.A.R.A.2230.EUR.O</v>
      </c>
    </row>
    <row r="134" spans="1:10" s="5" customFormat="1" x14ac:dyDescent="0.2">
      <c r="A134" s="1" t="s">
        <v>2009</v>
      </c>
      <c r="B134" s="1">
        <v>1</v>
      </c>
      <c r="C134" s="1">
        <v>3</v>
      </c>
      <c r="D134" s="1" t="s">
        <v>2014</v>
      </c>
      <c r="E134" s="5" t="s">
        <v>2232</v>
      </c>
      <c r="F134" s="5" t="s">
        <v>2585</v>
      </c>
      <c r="G134" s="5" t="s">
        <v>2233</v>
      </c>
      <c r="H134" s="1" t="str">
        <f t="shared" si="7"/>
        <v>MIR</v>
      </c>
      <c r="I134" s="1" t="str">
        <f t="shared" si="9"/>
        <v>M.IT.B.L22.A.R.A.2240.EUR.N</v>
      </c>
      <c r="J134" s="4" t="str">
        <f t="shared" si="8"/>
        <v>MIR.M.IT.B.L22.A.R.A.2240.EUR.N</v>
      </c>
    </row>
    <row r="135" spans="1:10" s="5" customFormat="1" x14ac:dyDescent="0.2">
      <c r="A135" s="1" t="s">
        <v>2009</v>
      </c>
      <c r="B135" s="1">
        <v>1</v>
      </c>
      <c r="C135" s="1">
        <v>3</v>
      </c>
      <c r="D135" s="1" t="s">
        <v>2014</v>
      </c>
      <c r="E135" s="5" t="s">
        <v>2234</v>
      </c>
      <c r="F135" s="5" t="s">
        <v>2586</v>
      </c>
      <c r="G135" s="5" t="s">
        <v>2235</v>
      </c>
      <c r="H135" s="1" t="str">
        <f t="shared" si="7"/>
        <v>MIR</v>
      </c>
      <c r="I135" s="1" t="str">
        <f t="shared" si="9"/>
        <v>M.IT.B.L22.A.R.A.2240.EUR.O</v>
      </c>
      <c r="J135" s="4" t="str">
        <f t="shared" si="8"/>
        <v>MIR.M.IT.B.L22.A.R.A.2240.EUR.O</v>
      </c>
    </row>
    <row r="136" spans="1:10" s="5" customFormat="1" x14ac:dyDescent="0.2">
      <c r="A136" s="1" t="s">
        <v>2009</v>
      </c>
      <c r="B136" s="1">
        <v>1</v>
      </c>
      <c r="C136" s="1">
        <v>3</v>
      </c>
      <c r="D136" s="1" t="s">
        <v>2014</v>
      </c>
      <c r="E136" s="5" t="s">
        <v>2236</v>
      </c>
      <c r="F136" s="5" t="s">
        <v>2587</v>
      </c>
      <c r="G136" s="5" t="s">
        <v>2237</v>
      </c>
      <c r="H136" s="1" t="str">
        <f t="shared" si="7"/>
        <v>MIR</v>
      </c>
      <c r="I136" s="1" t="str">
        <f t="shared" si="9"/>
        <v>M.IT.B.L22.A.R.A.2250.EUR.N</v>
      </c>
      <c r="J136" s="4" t="str">
        <f t="shared" si="8"/>
        <v>MIR.M.IT.B.L22.A.R.A.2250.EUR.N</v>
      </c>
    </row>
    <row r="137" spans="1:10" s="5" customFormat="1" x14ac:dyDescent="0.2">
      <c r="A137" s="1" t="s">
        <v>2009</v>
      </c>
      <c r="B137" s="1">
        <v>1</v>
      </c>
      <c r="C137" s="1">
        <v>3</v>
      </c>
      <c r="D137" s="1" t="s">
        <v>2014</v>
      </c>
      <c r="E137" s="5" t="s">
        <v>2238</v>
      </c>
      <c r="F137" s="5" t="s">
        <v>2588</v>
      </c>
      <c r="G137" s="5" t="s">
        <v>2239</v>
      </c>
      <c r="H137" s="1" t="str">
        <f t="shared" si="7"/>
        <v>MIR</v>
      </c>
      <c r="I137" s="1" t="str">
        <f t="shared" si="9"/>
        <v>M.IT.B.L22.A.R.A.2250.EUR.O</v>
      </c>
      <c r="J137" s="4" t="str">
        <f t="shared" si="8"/>
        <v>MIR.M.IT.B.L22.A.R.A.2250.EUR.O</v>
      </c>
    </row>
    <row r="138" spans="1:10" s="5" customFormat="1" x14ac:dyDescent="0.2">
      <c r="A138" s="1" t="s">
        <v>2009</v>
      </c>
      <c r="B138" s="1">
        <v>1</v>
      </c>
      <c r="C138" s="1">
        <v>3</v>
      </c>
      <c r="D138" s="1" t="s">
        <v>2014</v>
      </c>
      <c r="E138" s="5" t="s">
        <v>2240</v>
      </c>
      <c r="F138" s="5" t="s">
        <v>2589</v>
      </c>
      <c r="G138" s="5" t="s">
        <v>2241</v>
      </c>
      <c r="H138" s="1" t="str">
        <f t="shared" si="7"/>
        <v>MIR</v>
      </c>
      <c r="I138" s="1" t="str">
        <f t="shared" si="9"/>
        <v>M.IT.B.L23.A.R.A.2250.EUR.N</v>
      </c>
      <c r="J138" s="4" t="str">
        <f t="shared" si="8"/>
        <v>MIR.M.IT.B.L23.A.R.A.2250.EUR.N</v>
      </c>
    </row>
    <row r="139" spans="1:10" s="5" customFormat="1" x14ac:dyDescent="0.2">
      <c r="A139" s="1" t="s">
        <v>2009</v>
      </c>
      <c r="B139" s="1">
        <v>1</v>
      </c>
      <c r="C139" s="1">
        <v>8</v>
      </c>
      <c r="D139" s="1" t="s">
        <v>2663</v>
      </c>
      <c r="E139" s="5" t="s">
        <v>2242</v>
      </c>
      <c r="F139" s="5" t="s">
        <v>2590</v>
      </c>
      <c r="G139" s="5" t="s">
        <v>2243</v>
      </c>
      <c r="H139" s="1" t="str">
        <f t="shared" si="7"/>
        <v>MIR</v>
      </c>
      <c r="I139" s="1" t="str">
        <f t="shared" si="9"/>
        <v>M.IT.B.L24.A.B.A.2230.EUR.N</v>
      </c>
      <c r="J139" s="4" t="str">
        <f t="shared" si="8"/>
        <v>MIR.M.IT.B.L24.A.B.A.2230.EUR.N</v>
      </c>
    </row>
    <row r="140" spans="1:10" s="5" customFormat="1" x14ac:dyDescent="0.2">
      <c r="A140" s="1" t="s">
        <v>2009</v>
      </c>
      <c r="B140" s="1">
        <v>1</v>
      </c>
      <c r="C140" s="1">
        <v>3</v>
      </c>
      <c r="D140" s="1" t="s">
        <v>2014</v>
      </c>
      <c r="E140" s="5" t="s">
        <v>2244</v>
      </c>
      <c r="F140" s="5" t="s">
        <v>2591</v>
      </c>
      <c r="G140" s="5" t="s">
        <v>2245</v>
      </c>
      <c r="H140" s="1" t="str">
        <f t="shared" si="7"/>
        <v>MIR</v>
      </c>
      <c r="I140" s="1" t="str">
        <f t="shared" si="9"/>
        <v>M.IT.B.L24.A.R.A.2230.EUR.N</v>
      </c>
      <c r="J140" s="4" t="str">
        <f t="shared" si="8"/>
        <v>MIR.M.IT.B.L24.A.R.A.2230.EUR.N</v>
      </c>
    </row>
    <row r="141" spans="1:10" s="5" customFormat="1" x14ac:dyDescent="0.2">
      <c r="A141" s="1" t="s">
        <v>2009</v>
      </c>
      <c r="B141" s="1">
        <v>1</v>
      </c>
      <c r="C141" s="1">
        <v>3</v>
      </c>
      <c r="D141" s="1" t="s">
        <v>2014</v>
      </c>
      <c r="E141" s="5" t="s">
        <v>2246</v>
      </c>
      <c r="F141" s="5" t="s">
        <v>2592</v>
      </c>
      <c r="G141" s="5" t="s">
        <v>2247</v>
      </c>
      <c r="H141" s="1" t="str">
        <f t="shared" si="7"/>
        <v>MIR</v>
      </c>
      <c r="I141" s="1" t="str">
        <f t="shared" si="9"/>
        <v>M.IT.B.L24.A.R.A.2230.EUR.O</v>
      </c>
      <c r="J141" s="4" t="str">
        <f t="shared" si="8"/>
        <v>MIR.M.IT.B.L24.A.R.A.2230.EUR.O</v>
      </c>
    </row>
    <row r="142" spans="1:10" s="5" customFormat="1" x14ac:dyDescent="0.2">
      <c r="A142" s="1" t="s">
        <v>2009</v>
      </c>
      <c r="B142" s="1">
        <v>1</v>
      </c>
      <c r="C142" s="1">
        <v>3</v>
      </c>
      <c r="D142" s="1" t="s">
        <v>2014</v>
      </c>
      <c r="E142" s="5" t="s">
        <v>2034</v>
      </c>
      <c r="F142" s="5" t="s">
        <v>2593</v>
      </c>
      <c r="G142" s="5" t="s">
        <v>2035</v>
      </c>
      <c r="H142" s="1" t="str">
        <f t="shared" si="7"/>
        <v>MIR</v>
      </c>
      <c r="I142" s="1" t="str">
        <f t="shared" si="9"/>
        <v>M.U2.B.A2C.AM.R.A.2250.EUR.N</v>
      </c>
      <c r="J142" s="4" t="str">
        <f t="shared" si="8"/>
        <v>MIR.M.U2.B.A2C.AM.R.A.2250.EUR.N</v>
      </c>
    </row>
    <row r="143" spans="1:10" s="5" customFormat="1" x14ac:dyDescent="0.2">
      <c r="A143" s="1" t="s">
        <v>2009</v>
      </c>
      <c r="B143" s="1">
        <v>1</v>
      </c>
      <c r="C143" s="1">
        <v>3</v>
      </c>
      <c r="D143" s="1" t="s">
        <v>2014</v>
      </c>
      <c r="E143" s="5" t="s">
        <v>2036</v>
      </c>
      <c r="F143" s="5" t="s">
        <v>2594</v>
      </c>
      <c r="G143" s="5" t="s">
        <v>2037</v>
      </c>
      <c r="H143" s="1" t="str">
        <f t="shared" si="7"/>
        <v>MIR</v>
      </c>
      <c r="I143" s="1" t="str">
        <f t="shared" si="9"/>
        <v>M.U2.B.A2I.AM.R.A.2240.EUR.N</v>
      </c>
      <c r="J143" s="4" t="str">
        <f t="shared" si="8"/>
        <v>MIR.M.U2.B.A2I.AM.R.A.2240.EUR.N</v>
      </c>
    </row>
    <row r="144" spans="1:10" s="5" customFormat="1" x14ac:dyDescent="0.2">
      <c r="A144" s="1" t="s">
        <v>2009</v>
      </c>
      <c r="B144" s="1">
        <v>1</v>
      </c>
      <c r="C144" s="1">
        <v>3</v>
      </c>
      <c r="D144" s="1" t="s">
        <v>2014</v>
      </c>
      <c r="E144" s="5" t="s">
        <v>2038</v>
      </c>
      <c r="F144" s="5" t="s">
        <v>2595</v>
      </c>
      <c r="G144" s="5" t="s">
        <v>2039</v>
      </c>
      <c r="H144" s="1" t="str">
        <f t="shared" si="7"/>
        <v>MIR</v>
      </c>
      <c r="I144" s="1" t="str">
        <f t="shared" si="9"/>
        <v>M.U2.B.A2J.FM.R.A.2230.EUR.N</v>
      </c>
      <c r="J144" s="4" t="str">
        <f t="shared" si="8"/>
        <v>MIR.M.U2.B.A2J.FM.R.A.2230.EUR.N</v>
      </c>
    </row>
    <row r="145" spans="1:10" s="5" customFormat="1" x14ac:dyDescent="0.2">
      <c r="A145" s="1" t="s">
        <v>2009</v>
      </c>
      <c r="B145" s="1">
        <v>1</v>
      </c>
      <c r="C145" s="1">
        <v>3</v>
      </c>
      <c r="D145" s="1" t="s">
        <v>2014</v>
      </c>
      <c r="E145" s="5" t="s">
        <v>2040</v>
      </c>
      <c r="F145" s="5" t="s">
        <v>2596</v>
      </c>
      <c r="G145" s="5" t="s">
        <v>2041</v>
      </c>
      <c r="H145" s="1" t="str">
        <f t="shared" si="7"/>
        <v>MIR</v>
      </c>
      <c r="I145" s="1" t="str">
        <f t="shared" si="9"/>
        <v>M.U2.B.A2J.KM.R.A.2230.EUR.N</v>
      </c>
      <c r="J145" s="4" t="str">
        <f t="shared" si="8"/>
        <v>MIR.M.U2.B.A2J.KM.R.A.2230.EUR.N</v>
      </c>
    </row>
    <row r="146" spans="1:10" s="5" customFormat="1" x14ac:dyDescent="0.2">
      <c r="A146" s="1" t="s">
        <v>2009</v>
      </c>
      <c r="B146" s="1">
        <v>1</v>
      </c>
      <c r="C146" s="1">
        <v>3</v>
      </c>
      <c r="D146" s="1" t="s">
        <v>2014</v>
      </c>
      <c r="E146" s="5" t="s">
        <v>2248</v>
      </c>
      <c r="F146" s="5" t="s">
        <v>2597</v>
      </c>
      <c r="G146" s="5" t="s">
        <v>2249</v>
      </c>
      <c r="H146" s="1" t="str">
        <f t="shared" si="7"/>
        <v>MIR</v>
      </c>
      <c r="I146" s="1" t="str">
        <f t="shared" si="9"/>
        <v>M.DE.B.A2C.AM.R.A.2250.EUR.N</v>
      </c>
      <c r="J146" s="4" t="str">
        <f t="shared" si="8"/>
        <v>MIR.M.DE.B.A2C.AM.R.A.2250.EUR.N</v>
      </c>
    </row>
    <row r="147" spans="1:10" s="5" customFormat="1" x14ac:dyDescent="0.2">
      <c r="A147" s="1" t="s">
        <v>2009</v>
      </c>
      <c r="B147" s="1">
        <v>1</v>
      </c>
      <c r="C147" s="1">
        <v>3</v>
      </c>
      <c r="D147" s="1" t="s">
        <v>2014</v>
      </c>
      <c r="E147" s="5" t="s">
        <v>2250</v>
      </c>
      <c r="F147" s="5" t="s">
        <v>2598</v>
      </c>
      <c r="G147" s="5" t="s">
        <v>2251</v>
      </c>
      <c r="H147" s="1" t="str">
        <f t="shared" si="7"/>
        <v>MIR</v>
      </c>
      <c r="I147" s="1" t="str">
        <f t="shared" si="9"/>
        <v>M.DE.B.A2I.AM.R.A.2240.EUR.N</v>
      </c>
      <c r="J147" s="4" t="str">
        <f t="shared" si="8"/>
        <v>MIR.M.DE.B.A2I.AM.R.A.2240.EUR.N</v>
      </c>
    </row>
    <row r="148" spans="1:10" s="5" customFormat="1" x14ac:dyDescent="0.2">
      <c r="A148" s="1" t="s">
        <v>2009</v>
      </c>
      <c r="B148" s="1">
        <v>1</v>
      </c>
      <c r="C148" s="1">
        <v>3</v>
      </c>
      <c r="D148" s="1" t="s">
        <v>2014</v>
      </c>
      <c r="E148" s="5" t="s">
        <v>2252</v>
      </c>
      <c r="F148" s="5" t="s">
        <v>2599</v>
      </c>
      <c r="G148" s="5" t="s">
        <v>2253</v>
      </c>
      <c r="H148" s="1" t="str">
        <f t="shared" si="7"/>
        <v>MIR</v>
      </c>
      <c r="I148" s="1" t="str">
        <f t="shared" si="9"/>
        <v>M.DE.B.A2J.FM.R.A.2230.EUR.N</v>
      </c>
      <c r="J148" s="4" t="str">
        <f t="shared" si="8"/>
        <v>MIR.M.DE.B.A2J.FM.R.A.2230.EUR.N</v>
      </c>
    </row>
    <row r="149" spans="1:10" s="5" customFormat="1" x14ac:dyDescent="0.2">
      <c r="A149" s="1" t="s">
        <v>2009</v>
      </c>
      <c r="B149" s="1">
        <v>1</v>
      </c>
      <c r="C149" s="1">
        <v>3</v>
      </c>
      <c r="D149" s="1" t="s">
        <v>2014</v>
      </c>
      <c r="E149" s="5" t="s">
        <v>2254</v>
      </c>
      <c r="F149" s="5" t="s">
        <v>2600</v>
      </c>
      <c r="G149" s="5" t="s">
        <v>2255</v>
      </c>
      <c r="H149" s="1" t="str">
        <f t="shared" si="7"/>
        <v>MIR</v>
      </c>
      <c r="I149" s="1" t="str">
        <f t="shared" si="9"/>
        <v>M.DE.B.A2J.KM.R.A.2230.EUR.N</v>
      </c>
      <c r="J149" s="4" t="str">
        <f t="shared" si="8"/>
        <v>MIR.M.DE.B.A2J.KM.R.A.2230.EUR.N</v>
      </c>
    </row>
    <row r="150" spans="1:10" s="5" customFormat="1" x14ac:dyDescent="0.2">
      <c r="A150" s="1" t="s">
        <v>2009</v>
      </c>
      <c r="B150" s="1">
        <v>1</v>
      </c>
      <c r="C150" s="1">
        <v>3</v>
      </c>
      <c r="D150" s="1" t="s">
        <v>2014</v>
      </c>
      <c r="E150" s="5" t="s">
        <v>2256</v>
      </c>
      <c r="F150" s="5" t="s">
        <v>2601</v>
      </c>
      <c r="G150" s="5" t="s">
        <v>2257</v>
      </c>
      <c r="H150" s="1" t="str">
        <f t="shared" si="7"/>
        <v>MIR</v>
      </c>
      <c r="I150" s="1" t="str">
        <f t="shared" si="9"/>
        <v>M.IT.B.A2C.AM.R.A.2250.EUR.N</v>
      </c>
      <c r="J150" s="4" t="str">
        <f t="shared" si="8"/>
        <v>MIR.M.IT.B.A2C.AM.R.A.2250.EUR.N</v>
      </c>
    </row>
    <row r="151" spans="1:10" s="5" customFormat="1" x14ac:dyDescent="0.2">
      <c r="A151" s="1" t="s">
        <v>2009</v>
      </c>
      <c r="B151" s="1">
        <v>1</v>
      </c>
      <c r="C151" s="1">
        <v>3</v>
      </c>
      <c r="D151" s="1" t="s">
        <v>2014</v>
      </c>
      <c r="E151" s="5" t="s">
        <v>2258</v>
      </c>
      <c r="F151" s="5" t="s">
        <v>2602</v>
      </c>
      <c r="G151" s="5" t="s">
        <v>2259</v>
      </c>
      <c r="H151" s="1" t="str">
        <f t="shared" si="7"/>
        <v>MIR</v>
      </c>
      <c r="I151" s="1" t="str">
        <f t="shared" si="9"/>
        <v>M.IT.B.A2I.AM.R.A.2240.EUR.N</v>
      </c>
      <c r="J151" s="4" t="str">
        <f t="shared" si="8"/>
        <v>MIR.M.IT.B.A2I.AM.R.A.2240.EUR.N</v>
      </c>
    </row>
    <row r="152" spans="1:10" s="5" customFormat="1" x14ac:dyDescent="0.2">
      <c r="A152" s="1" t="s">
        <v>2009</v>
      </c>
      <c r="B152" s="1">
        <v>1</v>
      </c>
      <c r="C152" s="1">
        <v>3</v>
      </c>
      <c r="D152" s="1" t="s">
        <v>2014</v>
      </c>
      <c r="E152" s="5" t="s">
        <v>2260</v>
      </c>
      <c r="F152" s="5" t="s">
        <v>2603</v>
      </c>
      <c r="G152" s="5" t="s">
        <v>2261</v>
      </c>
      <c r="H152" s="1" t="str">
        <f t="shared" si="7"/>
        <v>MIR</v>
      </c>
      <c r="I152" s="1" t="str">
        <f t="shared" si="9"/>
        <v>M.IT.B.A2J.FM.R.A.2230.EUR.N</v>
      </c>
      <c r="J152" s="4" t="str">
        <f t="shared" si="8"/>
        <v>MIR.M.IT.B.A2J.FM.R.A.2230.EUR.N</v>
      </c>
    </row>
    <row r="153" spans="1:10" s="5" customFormat="1" x14ac:dyDescent="0.2">
      <c r="A153" s="1" t="s">
        <v>2009</v>
      </c>
      <c r="B153" s="1">
        <v>1</v>
      </c>
      <c r="C153" s="1">
        <v>3</v>
      </c>
      <c r="D153" s="1" t="s">
        <v>2014</v>
      </c>
      <c r="E153" s="5" t="s">
        <v>2262</v>
      </c>
      <c r="F153" s="5" t="s">
        <v>2604</v>
      </c>
      <c r="G153" s="5" t="s">
        <v>2263</v>
      </c>
      <c r="H153" s="1" t="str">
        <f t="shared" si="7"/>
        <v>MIR</v>
      </c>
      <c r="I153" s="1" t="str">
        <f t="shared" si="9"/>
        <v>M.IT.B.A2J.KM.R.A.2230.EUR.N</v>
      </c>
      <c r="J153" s="4" t="str">
        <f t="shared" si="8"/>
        <v>MIR.M.IT.B.A2J.KM.R.A.2230.EUR.N</v>
      </c>
    </row>
    <row r="154" spans="1:10" s="5" customFormat="1" x14ac:dyDescent="0.2">
      <c r="A154" s="1" t="s">
        <v>2009</v>
      </c>
      <c r="B154" s="1">
        <v>1</v>
      </c>
      <c r="C154" s="1">
        <v>8</v>
      </c>
      <c r="D154" s="1" t="s">
        <v>2663</v>
      </c>
      <c r="E154" s="5" t="s">
        <v>2264</v>
      </c>
      <c r="F154" s="5" t="s">
        <v>2605</v>
      </c>
      <c r="G154" s="5" t="s">
        <v>2265</v>
      </c>
      <c r="H154" s="1" t="str">
        <f t="shared" si="7"/>
        <v>BSI</v>
      </c>
      <c r="I154" s="1" t="str">
        <f t="shared" si="9"/>
        <v>M.IT.N.A.A20.F.1.U2.2240.EUR.E</v>
      </c>
      <c r="J154" s="4" t="str">
        <f t="shared" si="8"/>
        <v>BSI.M.IT.N.A.A20.F.1.U2.2240.EUR.E</v>
      </c>
    </row>
    <row r="155" spans="1:10" s="5" customFormat="1" x14ac:dyDescent="0.2">
      <c r="A155" s="1" t="s">
        <v>2009</v>
      </c>
      <c r="B155" s="1">
        <v>1</v>
      </c>
      <c r="C155" s="1">
        <v>8</v>
      </c>
      <c r="D155" s="1" t="s">
        <v>2663</v>
      </c>
      <c r="E155" s="5" t="s">
        <v>2266</v>
      </c>
      <c r="F155" s="5" t="s">
        <v>2606</v>
      </c>
      <c r="G155" s="5" t="s">
        <v>2267</v>
      </c>
      <c r="H155" s="1" t="str">
        <f t="shared" si="7"/>
        <v>BSI</v>
      </c>
      <c r="I155" s="1" t="str">
        <f t="shared" si="9"/>
        <v>M.IT.N.A.A20.F.1.U5.2240.EUR.E</v>
      </c>
      <c r="J155" s="4" t="str">
        <f t="shared" si="8"/>
        <v>BSI.M.IT.N.A.A20.F.1.U5.2240.EUR.E</v>
      </c>
    </row>
    <row r="156" spans="1:10" s="5" customFormat="1" x14ac:dyDescent="0.2">
      <c r="A156" s="1" t="s">
        <v>2009</v>
      </c>
      <c r="B156" s="1">
        <v>1</v>
      </c>
      <c r="C156" s="1">
        <v>8</v>
      </c>
      <c r="D156" s="1" t="s">
        <v>2663</v>
      </c>
      <c r="E156" s="5" t="s">
        <v>2268</v>
      </c>
      <c r="F156" s="5" t="s">
        <v>2607</v>
      </c>
      <c r="G156" s="5" t="s">
        <v>2269</v>
      </c>
      <c r="H156" s="1" t="str">
        <f t="shared" si="7"/>
        <v>BSI</v>
      </c>
      <c r="I156" s="1" t="str">
        <f t="shared" si="9"/>
        <v>M.IT.N.A.A20.F.1.U6.2240.EUR.E</v>
      </c>
      <c r="J156" s="4" t="str">
        <f t="shared" si="8"/>
        <v>BSI.M.IT.N.A.A20.F.1.U6.2240.EUR.E</v>
      </c>
    </row>
    <row r="157" spans="1:10" s="5" customFormat="1" x14ac:dyDescent="0.2">
      <c r="A157" s="1" t="s">
        <v>2009</v>
      </c>
      <c r="B157" s="1">
        <v>1</v>
      </c>
      <c r="C157" s="1">
        <v>8</v>
      </c>
      <c r="D157" s="1" t="s">
        <v>2663</v>
      </c>
      <c r="E157" s="5" t="s">
        <v>2270</v>
      </c>
      <c r="F157" s="5" t="s">
        <v>2608</v>
      </c>
      <c r="G157" s="5" t="s">
        <v>2271</v>
      </c>
      <c r="H157" s="1" t="str">
        <f t="shared" si="7"/>
        <v>BSI</v>
      </c>
      <c r="I157" s="1" t="str">
        <f t="shared" si="9"/>
        <v>M.IT.N.A.A20.F.4.U2.2240.EUR.E</v>
      </c>
      <c r="J157" s="4" t="str">
        <f t="shared" si="8"/>
        <v>BSI.M.IT.N.A.A20.F.4.U2.2240.EUR.E</v>
      </c>
    </row>
    <row r="158" spans="1:10" s="5" customFormat="1" x14ac:dyDescent="0.2">
      <c r="A158" s="1" t="s">
        <v>2009</v>
      </c>
      <c r="B158" s="1">
        <v>1</v>
      </c>
      <c r="C158" s="1">
        <v>8</v>
      </c>
      <c r="D158" s="1" t="s">
        <v>2663</v>
      </c>
      <c r="E158" s="5" t="s">
        <v>2272</v>
      </c>
      <c r="F158" s="5" t="s">
        <v>2619</v>
      </c>
      <c r="G158" s="5" t="s">
        <v>2273</v>
      </c>
      <c r="H158" s="1" t="str">
        <f t="shared" si="7"/>
        <v>BSI</v>
      </c>
      <c r="I158" s="1" t="str">
        <f t="shared" si="9"/>
        <v>M.IT.N.A.A20.F.4.U5.2240.EUR.E</v>
      </c>
      <c r="J158" s="4" t="str">
        <f t="shared" si="8"/>
        <v>BSI.M.IT.N.A.A20.F.4.U5.2240.EUR.E</v>
      </c>
    </row>
    <row r="159" spans="1:10" s="5" customFormat="1" x14ac:dyDescent="0.2">
      <c r="A159" s="1" t="s">
        <v>2009</v>
      </c>
      <c r="B159" s="1">
        <v>1</v>
      </c>
      <c r="C159" s="1">
        <v>8</v>
      </c>
      <c r="D159" s="1" t="s">
        <v>2663</v>
      </c>
      <c r="E159" s="5" t="s">
        <v>2274</v>
      </c>
      <c r="F159" s="5" t="s">
        <v>2620</v>
      </c>
      <c r="G159" s="5" t="s">
        <v>2275</v>
      </c>
      <c r="H159" s="1" t="str">
        <f t="shared" si="7"/>
        <v>BSI</v>
      </c>
      <c r="I159" s="1" t="str">
        <f t="shared" si="9"/>
        <v>M.IT.N.A.A20.F.4.U6.2240.EUR.E</v>
      </c>
      <c r="J159" s="4" t="str">
        <f t="shared" si="8"/>
        <v>BSI.M.IT.N.A.A20.F.4.U6.2240.EUR.E</v>
      </c>
    </row>
    <row r="160" spans="1:10" s="5" customFormat="1" x14ac:dyDescent="0.2">
      <c r="A160" s="1" t="s">
        <v>2009</v>
      </c>
      <c r="B160" s="1">
        <v>1</v>
      </c>
      <c r="C160" s="1">
        <v>8</v>
      </c>
      <c r="D160" s="1" t="s">
        <v>2663</v>
      </c>
      <c r="E160" s="5" t="s">
        <v>2276</v>
      </c>
      <c r="F160" s="5" t="s">
        <v>2609</v>
      </c>
      <c r="G160" s="5" t="s">
        <v>2277</v>
      </c>
      <c r="H160" s="1" t="str">
        <f t="shared" si="7"/>
        <v>BSI</v>
      </c>
      <c r="I160" s="1" t="str">
        <f t="shared" si="9"/>
        <v>M.IT.N.A.A20.I.1.U2.2240.EUR.E</v>
      </c>
      <c r="J160" s="4" t="str">
        <f t="shared" si="8"/>
        <v>BSI.M.IT.N.A.A20.I.1.U2.2240.EUR.E</v>
      </c>
    </row>
    <row r="161" spans="1:10" s="5" customFormat="1" x14ac:dyDescent="0.2">
      <c r="A161" s="1" t="s">
        <v>2009</v>
      </c>
      <c r="B161" s="1">
        <v>1</v>
      </c>
      <c r="C161" s="1">
        <v>8</v>
      </c>
      <c r="D161" s="1" t="s">
        <v>2663</v>
      </c>
      <c r="E161" s="5" t="s">
        <v>2278</v>
      </c>
      <c r="F161" s="5" t="s">
        <v>2610</v>
      </c>
      <c r="G161" s="5" t="s">
        <v>2279</v>
      </c>
      <c r="H161" s="1" t="str">
        <f t="shared" si="7"/>
        <v>BSI</v>
      </c>
      <c r="I161" s="1" t="str">
        <f t="shared" si="9"/>
        <v>M.IT.N.A.A20.I.1.U5.2240.EUR.E</v>
      </c>
      <c r="J161" s="4" t="str">
        <f t="shared" si="8"/>
        <v>BSI.M.IT.N.A.A20.I.1.U5.2240.EUR.E</v>
      </c>
    </row>
    <row r="162" spans="1:10" s="5" customFormat="1" x14ac:dyDescent="0.2">
      <c r="A162" s="1" t="s">
        <v>2009</v>
      </c>
      <c r="B162" s="1">
        <v>1</v>
      </c>
      <c r="C162" s="1">
        <v>8</v>
      </c>
      <c r="D162" s="1" t="s">
        <v>2663</v>
      </c>
      <c r="E162" s="5" t="s">
        <v>2280</v>
      </c>
      <c r="F162" s="5" t="s">
        <v>2611</v>
      </c>
      <c r="G162" s="5" t="s">
        <v>2281</v>
      </c>
      <c r="H162" s="1" t="str">
        <f t="shared" si="7"/>
        <v>BSI</v>
      </c>
      <c r="I162" s="1" t="str">
        <f t="shared" si="9"/>
        <v>M.IT.N.A.A20.I.1.U6.2240.EUR.E</v>
      </c>
      <c r="J162" s="4" t="str">
        <f t="shared" si="8"/>
        <v>BSI.M.IT.N.A.A20.I.1.U6.2240.EUR.E</v>
      </c>
    </row>
    <row r="163" spans="1:10" s="5" customFormat="1" x14ac:dyDescent="0.2">
      <c r="A163" s="1" t="s">
        <v>2009</v>
      </c>
      <c r="B163" s="1">
        <v>1</v>
      </c>
      <c r="C163" s="1">
        <v>8</v>
      </c>
      <c r="D163" s="1" t="s">
        <v>2663</v>
      </c>
      <c r="E163" s="5" t="s">
        <v>2282</v>
      </c>
      <c r="F163" s="5" t="s">
        <v>2612</v>
      </c>
      <c r="G163" s="5" t="s">
        <v>2283</v>
      </c>
      <c r="H163" s="1" t="str">
        <f t="shared" ref="H163:H189" si="10">LEFT(G163,FIND(".",G163)-1)</f>
        <v>BSI</v>
      </c>
      <c r="I163" s="1" t="str">
        <f t="shared" si="9"/>
        <v>M.IT.N.A.A20.I.4.U2.2240.EUR.E</v>
      </c>
      <c r="J163" s="4" t="str">
        <f t="shared" si="8"/>
        <v>BSI.M.IT.N.A.A20.I.4.U2.2240.EUR.E</v>
      </c>
    </row>
    <row r="164" spans="1:10" s="5" customFormat="1" x14ac:dyDescent="0.2">
      <c r="A164" s="1" t="s">
        <v>2009</v>
      </c>
      <c r="B164" s="1">
        <v>1</v>
      </c>
      <c r="C164" s="1">
        <v>8</v>
      </c>
      <c r="D164" s="1" t="s">
        <v>2663</v>
      </c>
      <c r="E164" s="5" t="s">
        <v>2284</v>
      </c>
      <c r="F164" s="5" t="s">
        <v>2621</v>
      </c>
      <c r="G164" s="5" t="s">
        <v>2285</v>
      </c>
      <c r="H164" s="1" t="str">
        <f t="shared" si="10"/>
        <v>BSI</v>
      </c>
      <c r="I164" s="1" t="str">
        <f t="shared" ref="I164:I189" si="11">RIGHT(G164,LEN(G164)-FIND(".",G164))</f>
        <v>M.IT.N.A.A20.I.4.U5.2240.EUR.E</v>
      </c>
      <c r="J164" s="4" t="str">
        <f t="shared" si="8"/>
        <v>BSI.M.IT.N.A.A20.I.4.U5.2240.EUR.E</v>
      </c>
    </row>
    <row r="165" spans="1:10" s="5" customFormat="1" x14ac:dyDescent="0.2">
      <c r="A165" s="1" t="s">
        <v>2009</v>
      </c>
      <c r="B165" s="1">
        <v>1</v>
      </c>
      <c r="C165" s="1">
        <v>8</v>
      </c>
      <c r="D165" s="1" t="s">
        <v>2663</v>
      </c>
      <c r="E165" s="5" t="s">
        <v>2286</v>
      </c>
      <c r="F165" s="5" t="s">
        <v>2613</v>
      </c>
      <c r="G165" s="5" t="s">
        <v>2287</v>
      </c>
      <c r="H165" s="1" t="str">
        <f t="shared" si="10"/>
        <v>BSI</v>
      </c>
      <c r="I165" s="1" t="str">
        <f t="shared" si="11"/>
        <v>M.IT.N.A.A20.I.4.U6.2240.EUR.E</v>
      </c>
      <c r="J165" s="4" t="str">
        <f t="shared" si="8"/>
        <v>BSI.M.IT.N.A.A20.I.4.U6.2240.EUR.E</v>
      </c>
    </row>
    <row r="166" spans="1:10" s="5" customFormat="1" x14ac:dyDescent="0.2">
      <c r="A166" s="1" t="s">
        <v>2009</v>
      </c>
      <c r="B166" s="1">
        <v>1</v>
      </c>
      <c r="C166" s="1">
        <v>8</v>
      </c>
      <c r="D166" s="1" t="s">
        <v>2663</v>
      </c>
      <c r="E166" s="5" t="s">
        <v>2288</v>
      </c>
      <c r="F166" s="5" t="s">
        <v>2614</v>
      </c>
      <c r="G166" s="5" t="s">
        <v>2289</v>
      </c>
      <c r="H166" s="1" t="str">
        <f t="shared" si="10"/>
        <v>BSI</v>
      </c>
      <c r="I166" s="1" t="str">
        <f t="shared" si="11"/>
        <v>M.IT.N.A.A20.J.1.U2.2240.EUR.E</v>
      </c>
      <c r="J166" s="4" t="str">
        <f t="shared" si="8"/>
        <v>BSI.M.IT.N.A.A20.J.1.U2.2240.EUR.E</v>
      </c>
    </row>
    <row r="167" spans="1:10" s="5" customFormat="1" x14ac:dyDescent="0.2">
      <c r="A167" s="1" t="s">
        <v>2009</v>
      </c>
      <c r="B167" s="1">
        <v>1</v>
      </c>
      <c r="C167" s="1">
        <v>8</v>
      </c>
      <c r="D167" s="1" t="s">
        <v>2663</v>
      </c>
      <c r="E167" s="5" t="s">
        <v>2290</v>
      </c>
      <c r="F167" s="5" t="s">
        <v>2615</v>
      </c>
      <c r="G167" s="5" t="s">
        <v>2291</v>
      </c>
      <c r="H167" s="1" t="str">
        <f t="shared" si="10"/>
        <v>BSI</v>
      </c>
      <c r="I167" s="1" t="str">
        <f t="shared" si="11"/>
        <v>M.IT.N.A.A20.J.1.U5.2240.EUR.E</v>
      </c>
      <c r="J167" s="4" t="str">
        <f t="shared" si="8"/>
        <v>BSI.M.IT.N.A.A20.J.1.U5.2240.EUR.E</v>
      </c>
    </row>
    <row r="168" spans="1:10" s="5" customFormat="1" x14ac:dyDescent="0.2">
      <c r="A168" s="1" t="s">
        <v>2009</v>
      </c>
      <c r="B168" s="1">
        <v>1</v>
      </c>
      <c r="C168" s="1">
        <v>8</v>
      </c>
      <c r="D168" s="1" t="s">
        <v>2663</v>
      </c>
      <c r="E168" s="5" t="s">
        <v>2292</v>
      </c>
      <c r="F168" s="5" t="s">
        <v>2616</v>
      </c>
      <c r="G168" s="5" t="s">
        <v>2293</v>
      </c>
      <c r="H168" s="1" t="str">
        <f t="shared" si="10"/>
        <v>BSI</v>
      </c>
      <c r="I168" s="1" t="str">
        <f t="shared" si="11"/>
        <v>M.IT.N.A.A20.J.1.U6.2240.EUR.E</v>
      </c>
      <c r="J168" s="4" t="str">
        <f t="shared" si="8"/>
        <v>BSI.M.IT.N.A.A20.J.1.U6.2240.EUR.E</v>
      </c>
    </row>
    <row r="169" spans="1:10" s="5" customFormat="1" x14ac:dyDescent="0.2">
      <c r="A169" s="1" t="s">
        <v>2009</v>
      </c>
      <c r="B169" s="1">
        <v>1</v>
      </c>
      <c r="C169" s="1">
        <v>8</v>
      </c>
      <c r="D169" s="1" t="s">
        <v>2663</v>
      </c>
      <c r="E169" s="5" t="s">
        <v>2294</v>
      </c>
      <c r="F169" s="5" t="s">
        <v>2617</v>
      </c>
      <c r="G169" s="5" t="s">
        <v>2295</v>
      </c>
      <c r="H169" s="1" t="str">
        <f t="shared" si="10"/>
        <v>BSI</v>
      </c>
      <c r="I169" s="1" t="str">
        <f t="shared" si="11"/>
        <v>M.IT.N.A.A20.J.4.U2.2240.EUR.E</v>
      </c>
      <c r="J169" s="4" t="str">
        <f t="shared" si="8"/>
        <v>BSI.M.IT.N.A.A20.J.4.U2.2240.EUR.E</v>
      </c>
    </row>
    <row r="170" spans="1:10" s="5" customFormat="1" x14ac:dyDescent="0.2">
      <c r="A170" s="1" t="s">
        <v>2009</v>
      </c>
      <c r="B170" s="1">
        <v>1</v>
      </c>
      <c r="C170" s="1">
        <v>8</v>
      </c>
      <c r="D170" s="1" t="s">
        <v>2663</v>
      </c>
      <c r="E170" s="5" t="s">
        <v>2296</v>
      </c>
      <c r="F170" s="5" t="s">
        <v>2622</v>
      </c>
      <c r="G170" s="5" t="s">
        <v>2297</v>
      </c>
      <c r="H170" s="1" t="str">
        <f t="shared" si="10"/>
        <v>BSI</v>
      </c>
      <c r="I170" s="1" t="str">
        <f t="shared" si="11"/>
        <v>M.IT.N.A.A20.J.4.U5.2240.EUR.E</v>
      </c>
      <c r="J170" s="4" t="str">
        <f t="shared" si="8"/>
        <v>BSI.M.IT.N.A.A20.J.4.U5.2240.EUR.E</v>
      </c>
    </row>
    <row r="171" spans="1:10" s="5" customFormat="1" x14ac:dyDescent="0.2">
      <c r="A171" s="1" t="s">
        <v>2009</v>
      </c>
      <c r="B171" s="1">
        <v>1</v>
      </c>
      <c r="C171" s="1">
        <v>8</v>
      </c>
      <c r="D171" s="1" t="s">
        <v>2663</v>
      </c>
      <c r="E171" s="5" t="s">
        <v>2298</v>
      </c>
      <c r="F171" s="5" t="s">
        <v>2618</v>
      </c>
      <c r="G171" s="5" t="s">
        <v>2299</v>
      </c>
      <c r="H171" s="1" t="str">
        <f t="shared" si="10"/>
        <v>BSI</v>
      </c>
      <c r="I171" s="1" t="str">
        <f t="shared" si="11"/>
        <v>M.IT.N.A.A20.J.4.U6.2240.EUR.E</v>
      </c>
      <c r="J171" s="4" t="str">
        <f t="shared" ref="J171:J234" si="12">+HYPERLINK("https://data.ecb.europa.eu/data/datasets/"&amp;H171&amp;"/"&amp;G171,G171)</f>
        <v>BSI.M.IT.N.A.A20.J.4.U6.2240.EUR.E</v>
      </c>
    </row>
    <row r="172" spans="1:10" s="5" customFormat="1" x14ac:dyDescent="0.2">
      <c r="A172" s="1" t="s">
        <v>2009</v>
      </c>
      <c r="B172" s="1">
        <v>1</v>
      </c>
      <c r="C172" s="1">
        <v>8</v>
      </c>
      <c r="D172" s="1" t="s">
        <v>2663</v>
      </c>
      <c r="E172" s="5" t="s">
        <v>2300</v>
      </c>
      <c r="F172" s="5" t="s">
        <v>2623</v>
      </c>
      <c r="G172" s="5" t="s">
        <v>2301</v>
      </c>
      <c r="H172" s="1" t="str">
        <f t="shared" si="10"/>
        <v>BSI</v>
      </c>
      <c r="I172" s="1" t="str">
        <f t="shared" si="11"/>
        <v>M.U2.N.A.A20.F.1.U2.2240.EUR.E</v>
      </c>
      <c r="J172" s="4" t="str">
        <f t="shared" si="12"/>
        <v>BSI.M.U2.N.A.A20.F.1.U2.2240.EUR.E</v>
      </c>
    </row>
    <row r="173" spans="1:10" s="5" customFormat="1" x14ac:dyDescent="0.2">
      <c r="A173" s="1" t="s">
        <v>2009</v>
      </c>
      <c r="B173" s="1">
        <v>1</v>
      </c>
      <c r="C173" s="1">
        <v>8</v>
      </c>
      <c r="D173" s="1" t="s">
        <v>2663</v>
      </c>
      <c r="E173" s="5" t="s">
        <v>2302</v>
      </c>
      <c r="F173" s="5" t="s">
        <v>2624</v>
      </c>
      <c r="G173" s="5" t="s">
        <v>2303</v>
      </c>
      <c r="H173" s="1" t="str">
        <f t="shared" si="10"/>
        <v>BSI</v>
      </c>
      <c r="I173" s="1" t="str">
        <f t="shared" si="11"/>
        <v>M.U2.N.A.A20.F.1.U5.2240.EUR.E</v>
      </c>
      <c r="J173" s="4" t="str">
        <f t="shared" si="12"/>
        <v>BSI.M.U2.N.A.A20.F.1.U5.2240.EUR.E</v>
      </c>
    </row>
    <row r="174" spans="1:10" s="5" customFormat="1" x14ac:dyDescent="0.2">
      <c r="A174" s="1" t="s">
        <v>2009</v>
      </c>
      <c r="B174" s="1">
        <v>1</v>
      </c>
      <c r="C174" s="1">
        <v>8</v>
      </c>
      <c r="D174" s="1" t="s">
        <v>2663</v>
      </c>
      <c r="E174" s="5" t="s">
        <v>2304</v>
      </c>
      <c r="F174" s="5" t="s">
        <v>2625</v>
      </c>
      <c r="G174" s="5" t="s">
        <v>2305</v>
      </c>
      <c r="H174" s="1" t="str">
        <f t="shared" si="10"/>
        <v>BSI</v>
      </c>
      <c r="I174" s="1" t="str">
        <f t="shared" si="11"/>
        <v>M.U2.N.A.A20.F.1.U6.2240.EUR.E</v>
      </c>
      <c r="J174" s="4" t="str">
        <f t="shared" si="12"/>
        <v>BSI.M.U2.N.A.A20.F.1.U6.2240.EUR.E</v>
      </c>
    </row>
    <row r="175" spans="1:10" s="5" customFormat="1" x14ac:dyDescent="0.2">
      <c r="A175" s="1" t="s">
        <v>2009</v>
      </c>
      <c r="B175" s="1">
        <v>1</v>
      </c>
      <c r="C175" s="1">
        <v>8</v>
      </c>
      <c r="D175" s="1" t="s">
        <v>2663</v>
      </c>
      <c r="E175" s="5" t="s">
        <v>2306</v>
      </c>
      <c r="F175" s="5" t="s">
        <v>2626</v>
      </c>
      <c r="G175" s="5" t="s">
        <v>2307</v>
      </c>
      <c r="H175" s="1" t="str">
        <f t="shared" si="10"/>
        <v>BSI</v>
      </c>
      <c r="I175" s="1" t="str">
        <f t="shared" si="11"/>
        <v>M.U2.N.A.A20.F.4.U2.2240.EUR.E</v>
      </c>
      <c r="J175" s="4" t="str">
        <f t="shared" si="12"/>
        <v>BSI.M.U2.N.A.A20.F.4.U2.2240.EUR.E</v>
      </c>
    </row>
    <row r="176" spans="1:10" s="5" customFormat="1" x14ac:dyDescent="0.2">
      <c r="A176" s="1" t="s">
        <v>2009</v>
      </c>
      <c r="B176" s="1">
        <v>1</v>
      </c>
      <c r="C176" s="1">
        <v>8</v>
      </c>
      <c r="D176" s="1" t="s">
        <v>2663</v>
      </c>
      <c r="E176" s="5" t="s">
        <v>2308</v>
      </c>
      <c r="F176" s="5" t="s">
        <v>2627</v>
      </c>
      <c r="G176" s="5" t="s">
        <v>2309</v>
      </c>
      <c r="H176" s="1" t="str">
        <f t="shared" si="10"/>
        <v>BSI</v>
      </c>
      <c r="I176" s="1" t="str">
        <f t="shared" si="11"/>
        <v>M.U2.N.A.A20.F.4.U5.2240.EUR.E</v>
      </c>
      <c r="J176" s="4" t="str">
        <f t="shared" si="12"/>
        <v>BSI.M.U2.N.A.A20.F.4.U5.2240.EUR.E</v>
      </c>
    </row>
    <row r="177" spans="1:10" s="5" customFormat="1" x14ac:dyDescent="0.2">
      <c r="A177" s="1" t="s">
        <v>2009</v>
      </c>
      <c r="B177" s="1">
        <v>1</v>
      </c>
      <c r="C177" s="1">
        <v>8</v>
      </c>
      <c r="D177" s="1" t="s">
        <v>2663</v>
      </c>
      <c r="E177" s="5" t="s">
        <v>2310</v>
      </c>
      <c r="F177" s="5" t="s">
        <v>2628</v>
      </c>
      <c r="G177" s="5" t="s">
        <v>2311</v>
      </c>
      <c r="H177" s="1" t="str">
        <f t="shared" si="10"/>
        <v>BSI</v>
      </c>
      <c r="I177" s="1" t="str">
        <f t="shared" si="11"/>
        <v>M.U2.N.A.A20.F.4.U6.2240.EUR.E</v>
      </c>
      <c r="J177" s="4" t="str">
        <f t="shared" si="12"/>
        <v>BSI.M.U2.N.A.A20.F.4.U6.2240.EUR.E</v>
      </c>
    </row>
    <row r="178" spans="1:10" s="5" customFormat="1" x14ac:dyDescent="0.2">
      <c r="A178" s="1" t="s">
        <v>2009</v>
      </c>
      <c r="B178" s="1">
        <v>1</v>
      </c>
      <c r="C178" s="1">
        <v>8</v>
      </c>
      <c r="D178" s="1" t="s">
        <v>2663</v>
      </c>
      <c r="E178" s="5" t="s">
        <v>2312</v>
      </c>
      <c r="F178" s="5" t="s">
        <v>2635</v>
      </c>
      <c r="G178" s="5" t="s">
        <v>2313</v>
      </c>
      <c r="H178" s="1" t="str">
        <f t="shared" si="10"/>
        <v>BSI</v>
      </c>
      <c r="I178" s="1" t="str">
        <f t="shared" si="11"/>
        <v>M.U2.N.A.A20.I.1.U2.2240.EUR.E</v>
      </c>
      <c r="J178" s="4" t="str">
        <f t="shared" si="12"/>
        <v>BSI.M.U2.N.A.A20.I.1.U2.2240.EUR.E</v>
      </c>
    </row>
    <row r="179" spans="1:10" s="5" customFormat="1" x14ac:dyDescent="0.2">
      <c r="A179" s="1" t="s">
        <v>2009</v>
      </c>
      <c r="B179" s="1">
        <v>1</v>
      </c>
      <c r="C179" s="1">
        <v>8</v>
      </c>
      <c r="D179" s="1" t="s">
        <v>2663</v>
      </c>
      <c r="E179" s="5" t="s">
        <v>2314</v>
      </c>
      <c r="F179" s="5" t="s">
        <v>2636</v>
      </c>
      <c r="G179" s="5" t="s">
        <v>2315</v>
      </c>
      <c r="H179" s="1" t="str">
        <f t="shared" si="10"/>
        <v>BSI</v>
      </c>
      <c r="I179" s="1" t="str">
        <f t="shared" si="11"/>
        <v>M.U2.N.A.A20.I.1.U5.2240.EUR.E</v>
      </c>
      <c r="J179" s="4" t="str">
        <f t="shared" si="12"/>
        <v>BSI.M.U2.N.A.A20.I.1.U5.2240.EUR.E</v>
      </c>
    </row>
    <row r="180" spans="1:10" s="5" customFormat="1" x14ac:dyDescent="0.2">
      <c r="A180" s="1" t="s">
        <v>2009</v>
      </c>
      <c r="B180" s="1">
        <v>1</v>
      </c>
      <c r="C180" s="1">
        <v>8</v>
      </c>
      <c r="D180" s="1" t="s">
        <v>2663</v>
      </c>
      <c r="E180" s="5" t="s">
        <v>2316</v>
      </c>
      <c r="F180" s="5" t="s">
        <v>2635</v>
      </c>
      <c r="G180" s="5" t="s">
        <v>2317</v>
      </c>
      <c r="H180" s="1" t="str">
        <f t="shared" si="10"/>
        <v>BSI</v>
      </c>
      <c r="I180" s="1" t="str">
        <f t="shared" si="11"/>
        <v>M.U2.N.A.A20.I.1.U6.2240.EUR.E</v>
      </c>
      <c r="J180" s="4" t="str">
        <f t="shared" si="12"/>
        <v>BSI.M.U2.N.A.A20.I.1.U6.2240.EUR.E</v>
      </c>
    </row>
    <row r="181" spans="1:10" s="5" customFormat="1" x14ac:dyDescent="0.2">
      <c r="A181" s="1" t="s">
        <v>2009</v>
      </c>
      <c r="B181" s="1">
        <v>1</v>
      </c>
      <c r="C181" s="1">
        <v>8</v>
      </c>
      <c r="D181" s="1" t="s">
        <v>2663</v>
      </c>
      <c r="E181" s="5" t="s">
        <v>2318</v>
      </c>
      <c r="F181" s="5" t="s">
        <v>2633</v>
      </c>
      <c r="G181" s="5" t="s">
        <v>2319</v>
      </c>
      <c r="H181" s="1" t="str">
        <f t="shared" si="10"/>
        <v>BSI</v>
      </c>
      <c r="I181" s="1" t="str">
        <f t="shared" si="11"/>
        <v>M.U2.N.A.A20.I.4.U2.2240.EUR.E</v>
      </c>
      <c r="J181" s="4" t="str">
        <f t="shared" si="12"/>
        <v>BSI.M.U2.N.A.A20.I.4.U2.2240.EUR.E</v>
      </c>
    </row>
    <row r="182" spans="1:10" s="5" customFormat="1" x14ac:dyDescent="0.2">
      <c r="A182" s="1" t="s">
        <v>2009</v>
      </c>
      <c r="B182" s="1">
        <v>1</v>
      </c>
      <c r="C182" s="1">
        <v>8</v>
      </c>
      <c r="D182" s="1" t="s">
        <v>2663</v>
      </c>
      <c r="E182" s="5" t="s">
        <v>2320</v>
      </c>
      <c r="F182" s="5" t="s">
        <v>2634</v>
      </c>
      <c r="G182" s="5" t="s">
        <v>2321</v>
      </c>
      <c r="H182" s="1" t="str">
        <f t="shared" si="10"/>
        <v>BSI</v>
      </c>
      <c r="I182" s="1" t="str">
        <f t="shared" si="11"/>
        <v>M.U2.N.A.A20.I.4.U5.2240.EUR.E</v>
      </c>
      <c r="J182" s="4" t="str">
        <f t="shared" si="12"/>
        <v>BSI.M.U2.N.A.A20.I.4.U5.2240.EUR.E</v>
      </c>
    </row>
    <row r="183" spans="1:10" s="5" customFormat="1" x14ac:dyDescent="0.2">
      <c r="A183" s="1" t="s">
        <v>2009</v>
      </c>
      <c r="B183" s="1">
        <v>1</v>
      </c>
      <c r="C183" s="1">
        <v>8</v>
      </c>
      <c r="D183" s="1" t="s">
        <v>2663</v>
      </c>
      <c r="E183" s="5" t="s">
        <v>2322</v>
      </c>
      <c r="F183" s="5" t="s">
        <v>2633</v>
      </c>
      <c r="G183" s="5" t="s">
        <v>2323</v>
      </c>
      <c r="H183" s="1" t="str">
        <f t="shared" si="10"/>
        <v>BSI</v>
      </c>
      <c r="I183" s="1" t="str">
        <f t="shared" si="11"/>
        <v>M.U2.N.A.A20.I.4.U6.2240.EUR.E</v>
      </c>
      <c r="J183" s="4" t="str">
        <f t="shared" si="12"/>
        <v>BSI.M.U2.N.A.A20.I.4.U6.2240.EUR.E</v>
      </c>
    </row>
    <row r="184" spans="1:10" s="5" customFormat="1" x14ac:dyDescent="0.2">
      <c r="A184" s="1" t="s">
        <v>2009</v>
      </c>
      <c r="B184" s="1">
        <v>1</v>
      </c>
      <c r="C184" s="1">
        <v>8</v>
      </c>
      <c r="D184" s="1" t="s">
        <v>2663</v>
      </c>
      <c r="E184" s="5" t="s">
        <v>2324</v>
      </c>
      <c r="F184" s="5" t="s">
        <v>2631</v>
      </c>
      <c r="G184" s="5" t="s">
        <v>2325</v>
      </c>
      <c r="H184" s="1" t="str">
        <f t="shared" si="10"/>
        <v>BSI</v>
      </c>
      <c r="I184" s="1" t="str">
        <f t="shared" si="11"/>
        <v>M.U2.N.A.A20.J.1.U2.2240.EUR.E</v>
      </c>
      <c r="J184" s="4" t="str">
        <f t="shared" si="12"/>
        <v>BSI.M.U2.N.A.A20.J.1.U2.2240.EUR.E</v>
      </c>
    </row>
    <row r="185" spans="1:10" s="5" customFormat="1" x14ac:dyDescent="0.2">
      <c r="A185" s="1" t="s">
        <v>2009</v>
      </c>
      <c r="B185" s="1">
        <v>1</v>
      </c>
      <c r="C185" s="1">
        <v>8</v>
      </c>
      <c r="D185" s="1" t="s">
        <v>2663</v>
      </c>
      <c r="E185" s="5" t="s">
        <v>2326</v>
      </c>
      <c r="F185" s="5" t="s">
        <v>2632</v>
      </c>
      <c r="G185" s="5" t="s">
        <v>2327</v>
      </c>
      <c r="H185" s="1" t="str">
        <f t="shared" si="10"/>
        <v>BSI</v>
      </c>
      <c r="I185" s="1" t="str">
        <f t="shared" si="11"/>
        <v>M.U2.N.A.A20.J.1.U5.2240.EUR.E</v>
      </c>
      <c r="J185" s="4" t="str">
        <f t="shared" si="12"/>
        <v>BSI.M.U2.N.A.A20.J.1.U5.2240.EUR.E</v>
      </c>
    </row>
    <row r="186" spans="1:10" s="5" customFormat="1" x14ac:dyDescent="0.2">
      <c r="A186" s="1" t="s">
        <v>2009</v>
      </c>
      <c r="B186" s="1">
        <v>1</v>
      </c>
      <c r="C186" s="1">
        <v>8</v>
      </c>
      <c r="D186" s="1" t="s">
        <v>2663</v>
      </c>
      <c r="E186" s="5" t="s">
        <v>2328</v>
      </c>
      <c r="F186" s="5" t="s">
        <v>2631</v>
      </c>
      <c r="G186" s="5" t="s">
        <v>2329</v>
      </c>
      <c r="H186" s="1" t="str">
        <f t="shared" si="10"/>
        <v>BSI</v>
      </c>
      <c r="I186" s="1" t="str">
        <f t="shared" si="11"/>
        <v>M.U2.N.A.A20.J.1.U6.2240.EUR.E</v>
      </c>
      <c r="J186" s="4" t="str">
        <f t="shared" si="12"/>
        <v>BSI.M.U2.N.A.A20.J.1.U6.2240.EUR.E</v>
      </c>
    </row>
    <row r="187" spans="1:10" s="5" customFormat="1" x14ac:dyDescent="0.2">
      <c r="A187" s="1" t="s">
        <v>2009</v>
      </c>
      <c r="B187" s="1">
        <v>1</v>
      </c>
      <c r="C187" s="1">
        <v>8</v>
      </c>
      <c r="D187" s="1" t="s">
        <v>2663</v>
      </c>
      <c r="E187" s="5" t="s">
        <v>2330</v>
      </c>
      <c r="F187" s="5" t="s">
        <v>2629</v>
      </c>
      <c r="G187" s="5" t="s">
        <v>2331</v>
      </c>
      <c r="H187" s="1" t="str">
        <f t="shared" si="10"/>
        <v>BSI</v>
      </c>
      <c r="I187" s="1" t="str">
        <f t="shared" si="11"/>
        <v>M.U2.N.A.A20.J.4.U2.2240.EUR.E</v>
      </c>
      <c r="J187" s="4" t="str">
        <f t="shared" si="12"/>
        <v>BSI.M.U2.N.A.A20.J.4.U2.2240.EUR.E</v>
      </c>
    </row>
    <row r="188" spans="1:10" s="5" customFormat="1" x14ac:dyDescent="0.2">
      <c r="A188" s="1" t="s">
        <v>2009</v>
      </c>
      <c r="B188" s="1">
        <v>1</v>
      </c>
      <c r="C188" s="1">
        <v>8</v>
      </c>
      <c r="D188" s="1" t="s">
        <v>2663</v>
      </c>
      <c r="E188" s="5" t="s">
        <v>2332</v>
      </c>
      <c r="F188" s="5" t="s">
        <v>2630</v>
      </c>
      <c r="G188" s="5" t="s">
        <v>2333</v>
      </c>
      <c r="H188" s="1" t="str">
        <f t="shared" si="10"/>
        <v>BSI</v>
      </c>
      <c r="I188" s="1" t="str">
        <f t="shared" si="11"/>
        <v>M.U2.N.A.A20.J.4.U5.2240.EUR.E</v>
      </c>
      <c r="J188" s="4" t="str">
        <f t="shared" si="12"/>
        <v>BSI.M.U2.N.A.A20.J.4.U5.2240.EUR.E</v>
      </c>
    </row>
    <row r="189" spans="1:10" s="5" customFormat="1" x14ac:dyDescent="0.2">
      <c r="A189" s="1" t="s">
        <v>2009</v>
      </c>
      <c r="B189" s="1">
        <v>1</v>
      </c>
      <c r="C189" s="1">
        <v>8</v>
      </c>
      <c r="D189" s="1" t="s">
        <v>2663</v>
      </c>
      <c r="E189" s="5" t="s">
        <v>2334</v>
      </c>
      <c r="F189" s="5" t="s">
        <v>2629</v>
      </c>
      <c r="G189" s="5" t="s">
        <v>2335</v>
      </c>
      <c r="H189" s="1" t="str">
        <f t="shared" si="10"/>
        <v>BSI</v>
      </c>
      <c r="I189" s="1" t="str">
        <f t="shared" si="11"/>
        <v>M.U2.N.A.A20.J.4.U6.2240.EUR.E</v>
      </c>
      <c r="J189" s="4" t="str">
        <f t="shared" si="12"/>
        <v>BSI.M.U2.N.A.A20.J.4.U6.2240.EUR.E</v>
      </c>
    </row>
    <row r="190" spans="1:10" s="5" customFormat="1" x14ac:dyDescent="0.2">
      <c r="A190" s="1" t="s">
        <v>2009</v>
      </c>
      <c r="B190" s="1">
        <v>1</v>
      </c>
      <c r="C190" s="1">
        <v>3</v>
      </c>
      <c r="D190" s="1" t="s">
        <v>2014</v>
      </c>
      <c r="E190" s="5" t="s">
        <v>2336</v>
      </c>
      <c r="F190" s="5" t="s">
        <v>2455</v>
      </c>
      <c r="G190" s="5" t="s">
        <v>2337</v>
      </c>
      <c r="H190" s="1" t="str">
        <f t="shared" ref="H190:H250" si="13">LEFT(G190,FIND(".",G190)-1)</f>
        <v>FM</v>
      </c>
      <c r="I190" s="1" t="str">
        <f t="shared" ref="I190:I251" si="14">RIGHT(G190,LEN(G190)-FIND(".",G190))</f>
        <v>M.U2.EUR.4F.MM.R_EURIBOR3MD_.HSTA</v>
      </c>
      <c r="J190" s="4" t="str">
        <f t="shared" si="12"/>
        <v>FM.M.U2.EUR.4F.MM.R_EURIBOR3MD_.HSTA</v>
      </c>
    </row>
    <row r="191" spans="1:10" s="5" customFormat="1" x14ac:dyDescent="0.2">
      <c r="A191" s="1" t="s">
        <v>2009</v>
      </c>
      <c r="B191" s="1">
        <v>1</v>
      </c>
      <c r="C191" s="1">
        <v>3</v>
      </c>
      <c r="D191" s="1" t="s">
        <v>2014</v>
      </c>
      <c r="E191" s="5" t="s">
        <v>2338</v>
      </c>
      <c r="F191" s="5" t="s">
        <v>1950</v>
      </c>
      <c r="G191" s="5" t="s">
        <v>2342</v>
      </c>
      <c r="H191" s="1" t="str">
        <f t="shared" si="13"/>
        <v>FM</v>
      </c>
      <c r="I191" s="1" t="str">
        <f t="shared" si="14"/>
        <v>Q.U2.EUR.RT.MM.EURIBOR1MD_.HSTA</v>
      </c>
      <c r="J191" s="4" t="str">
        <f t="shared" si="12"/>
        <v>FM.Q.U2.EUR.RT.MM.EURIBOR1MD_.HSTA</v>
      </c>
    </row>
    <row r="192" spans="1:10" s="5" customFormat="1" x14ac:dyDescent="0.2">
      <c r="A192" s="1" t="s">
        <v>2009</v>
      </c>
      <c r="B192" s="1">
        <v>1</v>
      </c>
      <c r="C192" s="1">
        <v>3</v>
      </c>
      <c r="D192" s="1" t="s">
        <v>2014</v>
      </c>
      <c r="E192" s="5" t="s">
        <v>2339</v>
      </c>
      <c r="F192" s="5" t="s">
        <v>2456</v>
      </c>
      <c r="G192" s="5" t="s">
        <v>2343</v>
      </c>
      <c r="H192" s="1" t="str">
        <f t="shared" si="13"/>
        <v>FM</v>
      </c>
      <c r="I192" s="1" t="str">
        <f t="shared" si="14"/>
        <v>Q.U2.EUR.RT.MM.EURIBOR1YD_.HSTA</v>
      </c>
      <c r="J192" s="4" t="str">
        <f t="shared" si="12"/>
        <v>FM.Q.U2.EUR.RT.MM.EURIBOR1YD_.HSTA</v>
      </c>
    </row>
    <row r="193" spans="1:10" s="5" customFormat="1" x14ac:dyDescent="0.2">
      <c r="A193" s="1" t="s">
        <v>2009</v>
      </c>
      <c r="B193" s="1">
        <v>1</v>
      </c>
      <c r="C193" s="1">
        <v>3</v>
      </c>
      <c r="D193" s="1" t="s">
        <v>2014</v>
      </c>
      <c r="E193" s="5" t="s">
        <v>2340</v>
      </c>
      <c r="F193" s="5" t="s">
        <v>1951</v>
      </c>
      <c r="G193" s="5" t="s">
        <v>2344</v>
      </c>
      <c r="H193" s="1" t="str">
        <f t="shared" si="13"/>
        <v>FM</v>
      </c>
      <c r="I193" s="1" t="str">
        <f t="shared" si="14"/>
        <v>Q.U2.EUR.RT.MM.EURIBOR3MD_.HSTA</v>
      </c>
      <c r="J193" s="4" t="str">
        <f t="shared" si="12"/>
        <v>FM.Q.U2.EUR.RT.MM.EURIBOR3MD_.HSTA</v>
      </c>
    </row>
    <row r="194" spans="1:10" s="5" customFormat="1" x14ac:dyDescent="0.2">
      <c r="A194" s="1" t="s">
        <v>2009</v>
      </c>
      <c r="B194" s="1">
        <v>1</v>
      </c>
      <c r="C194" s="1">
        <v>3</v>
      </c>
      <c r="D194" s="1" t="s">
        <v>2014</v>
      </c>
      <c r="E194" s="5" t="s">
        <v>2341</v>
      </c>
      <c r="F194" s="5" t="s">
        <v>1952</v>
      </c>
      <c r="G194" s="5" t="s">
        <v>2345</v>
      </c>
      <c r="H194" s="1" t="str">
        <f t="shared" si="13"/>
        <v>FM</v>
      </c>
      <c r="I194" s="1" t="str">
        <f t="shared" si="14"/>
        <v>Q.U2.EUR.RT.MM.EURIBOR6MD_.HSTA</v>
      </c>
      <c r="J194" s="4" t="str">
        <f t="shared" si="12"/>
        <v>FM.Q.U2.EUR.RT.MM.EURIBOR6MD_.HSTA</v>
      </c>
    </row>
    <row r="195" spans="1:10" x14ac:dyDescent="0.2">
      <c r="A195" s="1" t="s">
        <v>2009</v>
      </c>
      <c r="B195" s="1">
        <v>1</v>
      </c>
      <c r="C195" s="1">
        <v>3</v>
      </c>
      <c r="D195" s="1" t="s">
        <v>2014</v>
      </c>
      <c r="E195" s="1" t="s">
        <v>2346</v>
      </c>
      <c r="F195" s="1" t="s">
        <v>2411</v>
      </c>
      <c r="G195" s="1" t="s">
        <v>2047</v>
      </c>
      <c r="H195" s="1" t="str">
        <f t="shared" si="13"/>
        <v>YC</v>
      </c>
      <c r="I195" s="1" t="str">
        <f t="shared" si="14"/>
        <v>B.U2.EUR.4F.G_N_C.SV_C_YM.PY_10Y</v>
      </c>
      <c r="J195" s="4" t="str">
        <f t="shared" si="12"/>
        <v>YC.B.U2.EUR.4F.G_N_C.SV_C_YM.PY_10Y</v>
      </c>
    </row>
    <row r="196" spans="1:10" x14ac:dyDescent="0.2">
      <c r="A196" s="1" t="s">
        <v>2009</v>
      </c>
      <c r="B196" s="1">
        <v>1</v>
      </c>
      <c r="C196" s="1">
        <v>3</v>
      </c>
      <c r="D196" s="1" t="s">
        <v>2014</v>
      </c>
      <c r="E196" s="1" t="s">
        <v>2347</v>
      </c>
      <c r="F196" s="1" t="s">
        <v>2412</v>
      </c>
      <c r="G196" s="1" t="s">
        <v>2048</v>
      </c>
      <c r="H196" s="1" t="str">
        <f t="shared" si="13"/>
        <v>YC</v>
      </c>
      <c r="I196" s="1" t="str">
        <f t="shared" si="14"/>
        <v>B.U2.EUR.4F.G_N_C.SV_C_YM.PY_15Y</v>
      </c>
      <c r="J196" s="4" t="str">
        <f t="shared" si="12"/>
        <v>YC.B.U2.EUR.4F.G_N_C.SV_C_YM.PY_15Y</v>
      </c>
    </row>
    <row r="197" spans="1:10" x14ac:dyDescent="0.2">
      <c r="A197" s="1" t="s">
        <v>2009</v>
      </c>
      <c r="B197" s="1">
        <v>1</v>
      </c>
      <c r="C197" s="1">
        <v>3</v>
      </c>
      <c r="D197" s="1" t="s">
        <v>2014</v>
      </c>
      <c r="E197" s="1" t="s">
        <v>2348</v>
      </c>
      <c r="F197" s="1" t="s">
        <v>2413</v>
      </c>
      <c r="G197" s="1" t="s">
        <v>2049</v>
      </c>
      <c r="H197" s="1" t="str">
        <f t="shared" si="13"/>
        <v>YC</v>
      </c>
      <c r="I197" s="1" t="str">
        <f t="shared" si="14"/>
        <v>B.U2.EUR.4F.G_N_C.SV_C_YM.PY_1Y</v>
      </c>
      <c r="J197" s="4" t="str">
        <f t="shared" si="12"/>
        <v>YC.B.U2.EUR.4F.G_N_C.SV_C_YM.PY_1Y</v>
      </c>
    </row>
    <row r="198" spans="1:10" x14ac:dyDescent="0.2">
      <c r="A198" s="1" t="s">
        <v>2009</v>
      </c>
      <c r="B198" s="1">
        <v>1</v>
      </c>
      <c r="C198" s="1">
        <v>3</v>
      </c>
      <c r="D198" s="1" t="s">
        <v>2014</v>
      </c>
      <c r="E198" s="1" t="s">
        <v>2349</v>
      </c>
      <c r="F198" s="1" t="s">
        <v>2414</v>
      </c>
      <c r="G198" s="1" t="s">
        <v>2050</v>
      </c>
      <c r="H198" s="1" t="str">
        <f t="shared" si="13"/>
        <v>YC</v>
      </c>
      <c r="I198" s="1" t="str">
        <f t="shared" si="14"/>
        <v>B.U2.EUR.4F.G_N_C.SV_C_YM.PY_20Y</v>
      </c>
      <c r="J198" s="4" t="str">
        <f t="shared" si="12"/>
        <v>YC.B.U2.EUR.4F.G_N_C.SV_C_YM.PY_20Y</v>
      </c>
    </row>
    <row r="199" spans="1:10" x14ac:dyDescent="0.2">
      <c r="A199" s="1" t="s">
        <v>2009</v>
      </c>
      <c r="B199" s="1">
        <v>1</v>
      </c>
      <c r="C199" s="1">
        <v>3</v>
      </c>
      <c r="D199" s="1" t="s">
        <v>2014</v>
      </c>
      <c r="E199" s="1" t="s">
        <v>2350</v>
      </c>
      <c r="F199" s="1" t="s">
        <v>2415</v>
      </c>
      <c r="G199" s="1" t="s">
        <v>2051</v>
      </c>
      <c r="H199" s="1" t="str">
        <f t="shared" si="13"/>
        <v>YC</v>
      </c>
      <c r="I199" s="1" t="str">
        <f t="shared" si="14"/>
        <v>B.U2.EUR.4F.G_N_C.SV_C_YM.PY_2Y</v>
      </c>
      <c r="J199" s="4" t="str">
        <f t="shared" si="12"/>
        <v>YC.B.U2.EUR.4F.G_N_C.SV_C_YM.PY_2Y</v>
      </c>
    </row>
    <row r="200" spans="1:10" x14ac:dyDescent="0.2">
      <c r="A200" s="1" t="s">
        <v>2009</v>
      </c>
      <c r="B200" s="1">
        <v>1</v>
      </c>
      <c r="C200" s="1">
        <v>3</v>
      </c>
      <c r="D200" s="1" t="s">
        <v>2014</v>
      </c>
      <c r="E200" s="1" t="s">
        <v>2351</v>
      </c>
      <c r="F200" s="1" t="s">
        <v>2416</v>
      </c>
      <c r="G200" s="1" t="s">
        <v>2052</v>
      </c>
      <c r="H200" s="1" t="str">
        <f t="shared" si="13"/>
        <v>YC</v>
      </c>
      <c r="I200" s="1" t="str">
        <f t="shared" si="14"/>
        <v>B.U2.EUR.4F.G_N_C.SV_C_YM.PY_3Y</v>
      </c>
      <c r="J200" s="4" t="str">
        <f t="shared" si="12"/>
        <v>YC.B.U2.EUR.4F.G_N_C.SV_C_YM.PY_3Y</v>
      </c>
    </row>
    <row r="201" spans="1:10" x14ac:dyDescent="0.2">
      <c r="A201" s="1" t="s">
        <v>2009</v>
      </c>
      <c r="B201" s="1">
        <v>1</v>
      </c>
      <c r="C201" s="1">
        <v>3</v>
      </c>
      <c r="D201" s="1" t="s">
        <v>2014</v>
      </c>
      <c r="E201" s="1" t="s">
        <v>2352</v>
      </c>
      <c r="F201" s="1" t="s">
        <v>2417</v>
      </c>
      <c r="G201" s="1" t="s">
        <v>2053</v>
      </c>
      <c r="H201" s="1" t="str">
        <f t="shared" si="13"/>
        <v>YC</v>
      </c>
      <c r="I201" s="1" t="str">
        <f t="shared" si="14"/>
        <v>B.U2.EUR.4F.G_N_C.SV_C_YM.PY_5Y</v>
      </c>
      <c r="J201" s="4" t="str">
        <f t="shared" si="12"/>
        <v>YC.B.U2.EUR.4F.G_N_C.SV_C_YM.PY_5Y</v>
      </c>
    </row>
    <row r="202" spans="1:10" x14ac:dyDescent="0.2">
      <c r="A202" s="1" t="s">
        <v>2009</v>
      </c>
      <c r="B202" s="1">
        <v>1</v>
      </c>
      <c r="C202" s="1">
        <v>3</v>
      </c>
      <c r="D202" s="1" t="s">
        <v>2014</v>
      </c>
      <c r="E202" s="1" t="s">
        <v>2353</v>
      </c>
      <c r="F202" s="1" t="s">
        <v>2418</v>
      </c>
      <c r="G202" s="1" t="s">
        <v>2054</v>
      </c>
      <c r="H202" s="1" t="str">
        <f t="shared" si="13"/>
        <v>FM</v>
      </c>
      <c r="I202" s="1" t="str">
        <f t="shared" si="14"/>
        <v>M.U2.EUR.4F.BB.U2_10Y.YLD</v>
      </c>
      <c r="J202" s="4" t="str">
        <f t="shared" si="12"/>
        <v>FM.M.U2.EUR.4F.BB.U2_10Y.YLD</v>
      </c>
    </row>
    <row r="203" spans="1:10" x14ac:dyDescent="0.2">
      <c r="A203" s="1" t="s">
        <v>2009</v>
      </c>
      <c r="B203" s="1">
        <v>1</v>
      </c>
      <c r="C203" s="1">
        <v>3</v>
      </c>
      <c r="D203" s="1" t="s">
        <v>2014</v>
      </c>
      <c r="E203" s="1" t="s">
        <v>2354</v>
      </c>
      <c r="F203" s="1" t="s">
        <v>2419</v>
      </c>
      <c r="G203" s="1" t="s">
        <v>2055</v>
      </c>
      <c r="H203" s="1" t="str">
        <f t="shared" si="13"/>
        <v>FM</v>
      </c>
      <c r="I203" s="1" t="str">
        <f t="shared" si="14"/>
        <v>M.U2.EUR.4F.BB.U2_2Y.YLD</v>
      </c>
      <c r="J203" s="4" t="str">
        <f t="shared" si="12"/>
        <v>FM.M.U2.EUR.4F.BB.U2_2Y.YLD</v>
      </c>
    </row>
    <row r="204" spans="1:10" x14ac:dyDescent="0.2">
      <c r="A204" s="1" t="s">
        <v>2009</v>
      </c>
      <c r="B204" s="1">
        <v>1</v>
      </c>
      <c r="C204" s="1">
        <v>3</v>
      </c>
      <c r="D204" s="1" t="s">
        <v>2014</v>
      </c>
      <c r="E204" s="1" t="s">
        <v>2355</v>
      </c>
      <c r="F204" s="1" t="s">
        <v>2420</v>
      </c>
      <c r="G204" s="1" t="s">
        <v>2056</v>
      </c>
      <c r="H204" s="1" t="str">
        <f t="shared" si="13"/>
        <v>FM</v>
      </c>
      <c r="I204" s="1" t="str">
        <f t="shared" si="14"/>
        <v>M.U2.EUR.4F.BB.U2_3Y.YLD</v>
      </c>
      <c r="J204" s="4" t="str">
        <f t="shared" si="12"/>
        <v>FM.M.U2.EUR.4F.BB.U2_3Y.YLD</v>
      </c>
    </row>
    <row r="205" spans="1:10" x14ac:dyDescent="0.2">
      <c r="A205" s="1" t="s">
        <v>2009</v>
      </c>
      <c r="B205" s="1">
        <v>1</v>
      </c>
      <c r="C205" s="1">
        <v>3</v>
      </c>
      <c r="D205" s="1" t="s">
        <v>2014</v>
      </c>
      <c r="E205" s="1" t="s">
        <v>2356</v>
      </c>
      <c r="F205" s="1" t="s">
        <v>2421</v>
      </c>
      <c r="G205" s="1" t="s">
        <v>2057</v>
      </c>
      <c r="H205" s="1" t="str">
        <f t="shared" si="13"/>
        <v>FM</v>
      </c>
      <c r="I205" s="1" t="str">
        <f t="shared" si="14"/>
        <v>M.U2.EUR.4F.BB.U2_5Y.YLD</v>
      </c>
      <c r="J205" s="4" t="str">
        <f t="shared" si="12"/>
        <v>FM.M.U2.EUR.4F.BB.U2_5Y.YLD</v>
      </c>
    </row>
    <row r="206" spans="1:10" x14ac:dyDescent="0.2">
      <c r="A206" s="1" t="s">
        <v>2009</v>
      </c>
      <c r="B206" s="1">
        <v>1</v>
      </c>
      <c r="C206" s="1">
        <v>3</v>
      </c>
      <c r="D206" s="1" t="s">
        <v>2014</v>
      </c>
      <c r="E206" s="1" t="s">
        <v>2357</v>
      </c>
      <c r="F206" s="1" t="s">
        <v>2422</v>
      </c>
      <c r="G206" s="1" t="s">
        <v>2058</v>
      </c>
      <c r="H206" s="1" t="str">
        <f t="shared" si="13"/>
        <v>FM</v>
      </c>
      <c r="I206" s="1" t="str">
        <f t="shared" si="14"/>
        <v>M.U2.EUR.4F.BB.U2_7Y.YLD</v>
      </c>
      <c r="J206" s="4" t="str">
        <f t="shared" si="12"/>
        <v>FM.M.U2.EUR.4F.BB.U2_7Y.YLD</v>
      </c>
    </row>
    <row r="207" spans="1:10" x14ac:dyDescent="0.2">
      <c r="A207" s="1" t="s">
        <v>2009</v>
      </c>
      <c r="B207" s="1">
        <v>1</v>
      </c>
      <c r="C207" s="1">
        <v>6</v>
      </c>
      <c r="D207" s="1" t="s">
        <v>2661</v>
      </c>
      <c r="E207" s="1" t="s">
        <v>2059</v>
      </c>
      <c r="F207" s="1" t="s">
        <v>2423</v>
      </c>
      <c r="G207" s="1" t="s">
        <v>2060</v>
      </c>
      <c r="H207" s="1" t="str">
        <f t="shared" si="13"/>
        <v>FM</v>
      </c>
      <c r="I207" s="1" t="str">
        <f t="shared" si="14"/>
        <v>Q.U2.EUR.DS.EI.DJES50I.HSTA</v>
      </c>
      <c r="J207" s="4" t="str">
        <f t="shared" si="12"/>
        <v>FM.Q.U2.EUR.DS.EI.DJES50I.HSTA</v>
      </c>
    </row>
    <row r="208" spans="1:10" x14ac:dyDescent="0.2">
      <c r="A208" s="1" t="s">
        <v>2009</v>
      </c>
      <c r="B208" s="1">
        <v>1</v>
      </c>
      <c r="C208" s="1">
        <v>6</v>
      </c>
      <c r="D208" s="1" t="s">
        <v>2661</v>
      </c>
      <c r="E208" s="1" t="s">
        <v>2061</v>
      </c>
      <c r="F208" s="1" t="s">
        <v>2424</v>
      </c>
      <c r="G208" s="1" t="s">
        <v>2062</v>
      </c>
      <c r="H208" s="1" t="str">
        <f t="shared" si="13"/>
        <v>FM</v>
      </c>
      <c r="I208" s="1" t="str">
        <f t="shared" si="14"/>
        <v>Q.U2.EUR.DS.EI.DJEURST.HSTA</v>
      </c>
      <c r="J208" s="4" t="str">
        <f t="shared" si="12"/>
        <v>FM.Q.U2.EUR.DS.EI.DJEURST.HSTA</v>
      </c>
    </row>
    <row r="209" spans="1:10" x14ac:dyDescent="0.2">
      <c r="A209" s="1" t="s">
        <v>2009</v>
      </c>
      <c r="B209" s="1">
        <v>1</v>
      </c>
      <c r="C209" s="1">
        <v>6</v>
      </c>
      <c r="D209" s="1" t="s">
        <v>2661</v>
      </c>
      <c r="E209" s="1" t="s">
        <v>2063</v>
      </c>
      <c r="F209" s="1" t="s">
        <v>2425</v>
      </c>
      <c r="G209" s="1" t="s">
        <v>2064</v>
      </c>
      <c r="H209" s="1" t="str">
        <f t="shared" si="13"/>
        <v>FM</v>
      </c>
      <c r="I209" s="1" t="str">
        <f t="shared" si="14"/>
        <v>Q.U2.EUR.DS.EI.S1ESBME.HSTA</v>
      </c>
      <c r="J209" s="4" t="str">
        <f t="shared" si="12"/>
        <v>FM.Q.U2.EUR.DS.EI.S1ESBME.HSTA</v>
      </c>
    </row>
    <row r="210" spans="1:10" x14ac:dyDescent="0.2">
      <c r="A210" s="1" t="s">
        <v>2009</v>
      </c>
      <c r="B210" s="1">
        <v>1</v>
      </c>
      <c r="C210" s="1">
        <v>6</v>
      </c>
      <c r="D210" s="1" t="s">
        <v>2661</v>
      </c>
      <c r="E210" s="1" t="s">
        <v>2065</v>
      </c>
      <c r="F210" s="1" t="s">
        <v>2426</v>
      </c>
      <c r="G210" s="1" t="s">
        <v>2066</v>
      </c>
      <c r="H210" s="1" t="str">
        <f t="shared" si="13"/>
        <v>FM</v>
      </c>
      <c r="I210" s="1" t="str">
        <f t="shared" si="14"/>
        <v>Q.U2.EUR.DS.EI.S1ESCSE.HSTA</v>
      </c>
      <c r="J210" s="4" t="str">
        <f t="shared" si="12"/>
        <v>FM.Q.U2.EUR.DS.EI.S1ESCSE.HSTA</v>
      </c>
    </row>
    <row r="211" spans="1:10" x14ac:dyDescent="0.2">
      <c r="A211" s="1" t="s">
        <v>2009</v>
      </c>
      <c r="B211" s="1">
        <v>1</v>
      </c>
      <c r="C211" s="1">
        <v>6</v>
      </c>
      <c r="D211" s="1" t="s">
        <v>2661</v>
      </c>
      <c r="E211" s="1" t="s">
        <v>2067</v>
      </c>
      <c r="F211" s="1" t="s">
        <v>2427</v>
      </c>
      <c r="G211" s="1" t="s">
        <v>2068</v>
      </c>
      <c r="H211" s="1" t="str">
        <f t="shared" si="13"/>
        <v>FM</v>
      </c>
      <c r="I211" s="1" t="str">
        <f t="shared" si="14"/>
        <v>Q.U2.EUR.DS.EI.S1ESG1E.HSTA</v>
      </c>
      <c r="J211" s="4" t="str">
        <f t="shared" si="12"/>
        <v>FM.Q.U2.EUR.DS.EI.S1ESG1E.HSTA</v>
      </c>
    </row>
    <row r="212" spans="1:10" x14ac:dyDescent="0.2">
      <c r="A212" s="1" t="s">
        <v>2009</v>
      </c>
      <c r="B212" s="1">
        <v>1</v>
      </c>
      <c r="C212" s="1">
        <v>6</v>
      </c>
      <c r="D212" s="1" t="s">
        <v>2661</v>
      </c>
      <c r="E212" s="1" t="s">
        <v>2069</v>
      </c>
      <c r="F212" s="1" t="s">
        <v>2428</v>
      </c>
      <c r="G212" s="1" t="s">
        <v>2070</v>
      </c>
      <c r="H212" s="1" t="str">
        <f t="shared" si="13"/>
        <v>FM</v>
      </c>
      <c r="I212" s="1" t="str">
        <f t="shared" si="14"/>
        <v>Q.U2.EUR.DS.EI.S1ESH1E.HSTA</v>
      </c>
      <c r="J212" s="4" t="str">
        <f t="shared" si="12"/>
        <v>FM.Q.U2.EUR.DS.EI.S1ESH1E.HSTA</v>
      </c>
    </row>
    <row r="213" spans="1:10" x14ac:dyDescent="0.2">
      <c r="A213" s="1" t="s">
        <v>2009</v>
      </c>
      <c r="B213" s="1">
        <v>1</v>
      </c>
      <c r="C213" s="1">
        <v>6</v>
      </c>
      <c r="D213" s="1" t="s">
        <v>2661</v>
      </c>
      <c r="E213" s="1" t="s">
        <v>2071</v>
      </c>
      <c r="F213" s="1" t="s">
        <v>2429</v>
      </c>
      <c r="G213" s="1" t="s">
        <v>2072</v>
      </c>
      <c r="H213" s="1" t="str">
        <f t="shared" si="13"/>
        <v>FM</v>
      </c>
      <c r="I213" s="1" t="str">
        <f t="shared" si="14"/>
        <v>Q.U2.EUR.DS.EI.S1ESIDE.HSTA</v>
      </c>
      <c r="J213" s="4" t="str">
        <f t="shared" si="12"/>
        <v>FM.Q.U2.EUR.DS.EI.S1ESIDE.HSTA</v>
      </c>
    </row>
    <row r="214" spans="1:10" x14ac:dyDescent="0.2">
      <c r="A214" s="1" t="s">
        <v>2009</v>
      </c>
      <c r="B214" s="1">
        <v>1</v>
      </c>
      <c r="C214" s="1">
        <v>6</v>
      </c>
      <c r="D214" s="1" t="s">
        <v>2661</v>
      </c>
      <c r="E214" s="1" t="s">
        <v>2073</v>
      </c>
      <c r="F214" s="1" t="s">
        <v>2430</v>
      </c>
      <c r="G214" s="1" t="s">
        <v>2074</v>
      </c>
      <c r="H214" s="1" t="str">
        <f t="shared" si="13"/>
        <v>FM</v>
      </c>
      <c r="I214" s="1" t="str">
        <f t="shared" si="14"/>
        <v>Q.U2.EUR.DS.EI.S1ESO1E.HSTA</v>
      </c>
      <c r="J214" s="4" t="str">
        <f t="shared" si="12"/>
        <v>FM.Q.U2.EUR.DS.EI.S1ESO1E.HSTA</v>
      </c>
    </row>
    <row r="215" spans="1:10" x14ac:dyDescent="0.2">
      <c r="A215" s="1" t="s">
        <v>2009</v>
      </c>
      <c r="B215" s="1">
        <v>1</v>
      </c>
      <c r="C215" s="1">
        <v>6</v>
      </c>
      <c r="D215" s="1" t="s">
        <v>2661</v>
      </c>
      <c r="E215" s="1" t="s">
        <v>2075</v>
      </c>
      <c r="F215" s="1" t="s">
        <v>2431</v>
      </c>
      <c r="G215" s="1" t="s">
        <v>2076</v>
      </c>
      <c r="H215" s="1" t="str">
        <f t="shared" si="13"/>
        <v>FM</v>
      </c>
      <c r="I215" s="1" t="str">
        <f t="shared" si="14"/>
        <v>Q.U2.EUR.DS.EI.S1EST1E.HSTA</v>
      </c>
      <c r="J215" s="4" t="str">
        <f t="shared" si="12"/>
        <v>FM.Q.U2.EUR.DS.EI.S1EST1E.HSTA</v>
      </c>
    </row>
    <row r="216" spans="1:10" x14ac:dyDescent="0.2">
      <c r="A216" s="1" t="s">
        <v>2009</v>
      </c>
      <c r="B216" s="1">
        <v>1</v>
      </c>
      <c r="C216" s="1">
        <v>6</v>
      </c>
      <c r="D216" s="1" t="s">
        <v>2661</v>
      </c>
      <c r="E216" s="1" t="s">
        <v>2077</v>
      </c>
      <c r="F216" s="1" t="s">
        <v>2432</v>
      </c>
      <c r="G216" s="1" t="s">
        <v>2078</v>
      </c>
      <c r="H216" s="1" t="str">
        <f t="shared" si="13"/>
        <v>FM</v>
      </c>
      <c r="I216" s="1" t="str">
        <f t="shared" si="14"/>
        <v>Q.U2.EUR.DS.EI.S1ESU1E.HSTA</v>
      </c>
      <c r="J216" s="4" t="str">
        <f t="shared" si="12"/>
        <v>FM.Q.U2.EUR.DS.EI.S1ESU1E.HSTA</v>
      </c>
    </row>
    <row r="217" spans="1:10" x14ac:dyDescent="0.2">
      <c r="A217" s="1" t="s">
        <v>2009</v>
      </c>
      <c r="B217" s="1">
        <v>1</v>
      </c>
      <c r="C217" s="1">
        <v>5</v>
      </c>
      <c r="D217" s="1" t="s">
        <v>2660</v>
      </c>
      <c r="E217" s="1" t="s">
        <v>2637</v>
      </c>
      <c r="F217" s="1" t="s">
        <v>2457</v>
      </c>
      <c r="G217" s="1" t="s">
        <v>2091</v>
      </c>
      <c r="H217" s="1" t="str">
        <f t="shared" si="13"/>
        <v>GFS</v>
      </c>
      <c r="I217" s="1" t="str">
        <f t="shared" si="14"/>
        <v>Q.N.IT.W0.S13.S1.C.L.LE.GD.T._Z.XDC._T.F.V.N._T</v>
      </c>
      <c r="J217" s="4" t="str">
        <f t="shared" si="12"/>
        <v>GFS.Q.N.IT.W0.S13.S1.C.L.LE.GD.T._Z.XDC._T.F.V.N._T</v>
      </c>
    </row>
    <row r="218" spans="1:10" x14ac:dyDescent="0.2">
      <c r="A218" s="1" t="s">
        <v>2009</v>
      </c>
      <c r="B218" s="1">
        <v>1</v>
      </c>
      <c r="C218" s="1">
        <v>5</v>
      </c>
      <c r="D218" s="1" t="s">
        <v>2660</v>
      </c>
      <c r="E218" s="1" t="s">
        <v>2638</v>
      </c>
      <c r="F218" s="1" t="s">
        <v>2458</v>
      </c>
      <c r="G218" s="1" t="s">
        <v>2092</v>
      </c>
      <c r="H218" s="1" t="str">
        <f t="shared" si="13"/>
        <v>GFS</v>
      </c>
      <c r="I218" s="1" t="str">
        <f t="shared" si="14"/>
        <v>Q.N.I9.W0.S13.S1.C.L.LE.GD.T._Z.XDC._T.F.V.N._T</v>
      </c>
      <c r="J218" s="4" t="str">
        <f t="shared" si="12"/>
        <v>GFS.Q.N.I9.W0.S13.S1.C.L.LE.GD.T._Z.XDC._T.F.V.N._T</v>
      </c>
    </row>
    <row r="219" spans="1:10" x14ac:dyDescent="0.2">
      <c r="A219" s="1" t="s">
        <v>2009</v>
      </c>
      <c r="B219" s="1">
        <v>1</v>
      </c>
      <c r="C219" s="1">
        <v>7</v>
      </c>
      <c r="D219" s="1" t="s">
        <v>2662</v>
      </c>
      <c r="E219" s="1" t="s">
        <v>2093</v>
      </c>
      <c r="F219" s="1" t="s">
        <v>2435</v>
      </c>
      <c r="G219" s="1" t="s">
        <v>2094</v>
      </c>
      <c r="H219" s="1" t="str">
        <f t="shared" si="13"/>
        <v>CISS</v>
      </c>
      <c r="I219" s="1" t="str">
        <f t="shared" si="14"/>
        <v>D.CN.Z0Z.4F.EC.SS_CIN.IDX</v>
      </c>
      <c r="J219" s="4" t="str">
        <f t="shared" si="12"/>
        <v>CISS.D.CN.Z0Z.4F.EC.SS_CIN.IDX</v>
      </c>
    </row>
    <row r="220" spans="1:10" x14ac:dyDescent="0.2">
      <c r="A220" s="1" t="s">
        <v>2009</v>
      </c>
      <c r="B220" s="1">
        <v>1</v>
      </c>
      <c r="C220" s="1">
        <v>7</v>
      </c>
      <c r="D220" s="1" t="s">
        <v>2662</v>
      </c>
      <c r="E220" s="1" t="s">
        <v>2093</v>
      </c>
      <c r="F220" s="1" t="s">
        <v>2436</v>
      </c>
      <c r="G220" s="1" t="s">
        <v>2095</v>
      </c>
      <c r="H220" s="1" t="str">
        <f t="shared" si="13"/>
        <v>CISS</v>
      </c>
      <c r="I220" s="1" t="str">
        <f t="shared" si="14"/>
        <v>D.IT.Z0Z.4F.EC.SS_CIN.IDX</v>
      </c>
      <c r="J220" s="4" t="str">
        <f t="shared" si="12"/>
        <v>CISS.D.IT.Z0Z.4F.EC.SS_CIN.IDX</v>
      </c>
    </row>
    <row r="221" spans="1:10" x14ac:dyDescent="0.2">
      <c r="A221" s="1" t="s">
        <v>2009</v>
      </c>
      <c r="B221" s="1">
        <v>1</v>
      </c>
      <c r="C221" s="1">
        <v>7</v>
      </c>
      <c r="D221" s="1" t="s">
        <v>2662</v>
      </c>
      <c r="E221" s="1" t="s">
        <v>2096</v>
      </c>
      <c r="F221" s="1" t="s">
        <v>2437</v>
      </c>
      <c r="G221" s="1" t="s">
        <v>2097</v>
      </c>
      <c r="H221" s="1" t="str">
        <f t="shared" si="13"/>
        <v>CISS</v>
      </c>
      <c r="I221" s="1" t="str">
        <f t="shared" si="14"/>
        <v>D.US.Z0Z.4F.EC.SS_CI.IDX</v>
      </c>
      <c r="J221" s="4" t="str">
        <f t="shared" si="12"/>
        <v>CISS.D.US.Z0Z.4F.EC.SS_CI.IDX</v>
      </c>
    </row>
    <row r="222" spans="1:10" x14ac:dyDescent="0.2">
      <c r="A222" s="1" t="s">
        <v>2009</v>
      </c>
      <c r="B222" s="1">
        <v>1</v>
      </c>
      <c r="C222" s="1">
        <v>7</v>
      </c>
      <c r="D222" s="1" t="s">
        <v>2662</v>
      </c>
      <c r="E222" s="1" t="s">
        <v>2098</v>
      </c>
      <c r="F222" s="1" t="s">
        <v>2438</v>
      </c>
      <c r="G222" s="1" t="s">
        <v>2099</v>
      </c>
      <c r="H222" s="1" t="str">
        <f t="shared" si="13"/>
        <v>CISS</v>
      </c>
      <c r="I222" s="1" t="str">
        <f t="shared" si="14"/>
        <v>M.IT.Z0Z.4F.EC.SOV_CI.IDX</v>
      </c>
      <c r="J222" s="4" t="str">
        <f t="shared" si="12"/>
        <v>CISS.M.IT.Z0Z.4F.EC.SOV_CI.IDX</v>
      </c>
    </row>
    <row r="223" spans="1:10" x14ac:dyDescent="0.2">
      <c r="A223" s="1" t="s">
        <v>2009</v>
      </c>
      <c r="B223" s="1">
        <v>1</v>
      </c>
      <c r="C223" s="1">
        <v>7</v>
      </c>
      <c r="D223" s="1" t="s">
        <v>2662</v>
      </c>
      <c r="E223" s="1" t="s">
        <v>2100</v>
      </c>
      <c r="F223" s="1" t="s">
        <v>2439</v>
      </c>
      <c r="G223" s="1" t="s">
        <v>2101</v>
      </c>
      <c r="H223" s="1" t="str">
        <f t="shared" si="13"/>
        <v>CLIFS</v>
      </c>
      <c r="I223" s="1" t="str">
        <f t="shared" si="14"/>
        <v>M.IT._Z.4F.EC.CLIFS_CI.IDX</v>
      </c>
      <c r="J223" s="4" t="str">
        <f t="shared" si="12"/>
        <v>CLIFS.M.IT._Z.4F.EC.CLIFS_CI.IDX</v>
      </c>
    </row>
    <row r="224" spans="1:10" x14ac:dyDescent="0.2">
      <c r="A224" s="1" t="s">
        <v>2009</v>
      </c>
      <c r="B224" s="1">
        <v>1</v>
      </c>
      <c r="C224" s="1">
        <v>7</v>
      </c>
      <c r="D224" s="1" t="s">
        <v>2662</v>
      </c>
      <c r="E224" s="1" t="s">
        <v>2102</v>
      </c>
      <c r="F224" s="1" t="s">
        <v>2440</v>
      </c>
      <c r="G224" s="1" t="s">
        <v>2103</v>
      </c>
      <c r="H224" s="1" t="str">
        <f t="shared" si="13"/>
        <v>RAI</v>
      </c>
      <c r="I224" s="1" t="str">
        <f t="shared" si="14"/>
        <v>M.IT.GRNLHHNFC.EUR.MIR.Z</v>
      </c>
      <c r="J224" s="4" t="str">
        <f t="shared" si="12"/>
        <v>RAI.M.IT.GRNLHHNFC.EUR.MIR.Z</v>
      </c>
    </row>
    <row r="225" spans="1:10" x14ac:dyDescent="0.2">
      <c r="A225" s="1" t="s">
        <v>2009</v>
      </c>
      <c r="B225" s="1">
        <v>1</v>
      </c>
      <c r="C225" s="1">
        <v>7</v>
      </c>
      <c r="D225" s="1" t="s">
        <v>2662</v>
      </c>
      <c r="E225" s="1" t="s">
        <v>2104</v>
      </c>
      <c r="F225" s="1" t="s">
        <v>2441</v>
      </c>
      <c r="G225" s="1" t="s">
        <v>2105</v>
      </c>
      <c r="H225" s="1" t="str">
        <f t="shared" si="13"/>
        <v>RAI</v>
      </c>
      <c r="I225" s="1" t="str">
        <f t="shared" si="14"/>
        <v>M.IT.LMGBLNFCH.EUR.MIR.Z</v>
      </c>
      <c r="J225" s="4" t="str">
        <f t="shared" si="12"/>
        <v>RAI.M.IT.LMGBLNFCH.EUR.MIR.Z</v>
      </c>
    </row>
    <row r="226" spans="1:10" x14ac:dyDescent="0.2">
      <c r="A226" s="1" t="s">
        <v>2009</v>
      </c>
      <c r="B226" s="1">
        <v>1</v>
      </c>
      <c r="C226" s="1">
        <v>7</v>
      </c>
      <c r="D226" s="1" t="s">
        <v>2662</v>
      </c>
      <c r="E226" s="1" t="s">
        <v>2106</v>
      </c>
      <c r="F226" s="1" t="s">
        <v>2442</v>
      </c>
      <c r="G226" s="1" t="s">
        <v>2107</v>
      </c>
      <c r="H226" s="1" t="str">
        <f t="shared" si="13"/>
        <v>RAI</v>
      </c>
      <c r="I226" s="1" t="str">
        <f t="shared" si="14"/>
        <v>M.IT.LMGLHH.EUR.MIR.Z</v>
      </c>
      <c r="J226" s="4" t="str">
        <f t="shared" si="12"/>
        <v>RAI.M.IT.LMGLHH.EUR.MIR.Z</v>
      </c>
    </row>
    <row r="227" spans="1:10" x14ac:dyDescent="0.2">
      <c r="A227" s="1" t="s">
        <v>2009</v>
      </c>
      <c r="B227" s="1">
        <v>1</v>
      </c>
      <c r="C227" s="1">
        <v>7</v>
      </c>
      <c r="D227" s="1" t="s">
        <v>2662</v>
      </c>
      <c r="E227" s="1" t="s">
        <v>2108</v>
      </c>
      <c r="F227" s="1" t="s">
        <v>2443</v>
      </c>
      <c r="G227" s="1" t="s">
        <v>2109</v>
      </c>
      <c r="H227" s="1" t="str">
        <f t="shared" si="13"/>
        <v>RAI</v>
      </c>
      <c r="I227" s="1" t="str">
        <f t="shared" si="14"/>
        <v>M.IT.LMGLNFC.EUR.MIR.Z</v>
      </c>
      <c r="J227" s="4" t="str">
        <f t="shared" si="12"/>
        <v>RAI.M.IT.LMGLNFC.EUR.MIR.Z</v>
      </c>
    </row>
    <row r="228" spans="1:10" x14ac:dyDescent="0.2">
      <c r="A228" s="1" t="s">
        <v>2009</v>
      </c>
      <c r="B228" s="1">
        <v>1</v>
      </c>
      <c r="C228" s="1">
        <v>7</v>
      </c>
      <c r="D228" s="1" t="s">
        <v>2662</v>
      </c>
      <c r="E228" s="1" t="s">
        <v>2110</v>
      </c>
      <c r="F228" s="1" t="s">
        <v>2444</v>
      </c>
      <c r="G228" s="1" t="s">
        <v>2111</v>
      </c>
      <c r="H228" s="1" t="str">
        <f t="shared" si="13"/>
        <v>RAI</v>
      </c>
      <c r="I228" s="1" t="str">
        <f t="shared" si="14"/>
        <v>M.IT.LMGOLNFCH.EUR.MIR.Z</v>
      </c>
      <c r="J228" s="4" t="str">
        <f t="shared" si="12"/>
        <v>RAI.M.IT.LMGOLNFCH.EUR.MIR.Z</v>
      </c>
    </row>
    <row r="229" spans="1:10" x14ac:dyDescent="0.2">
      <c r="A229" s="1" t="s">
        <v>2009</v>
      </c>
      <c r="B229" s="1">
        <v>1</v>
      </c>
      <c r="C229" s="1">
        <v>7</v>
      </c>
      <c r="D229" s="1" t="s">
        <v>2662</v>
      </c>
      <c r="E229" s="1" t="s">
        <v>2112</v>
      </c>
      <c r="F229" s="1" t="s">
        <v>2445</v>
      </c>
      <c r="G229" s="1" t="s">
        <v>2113</v>
      </c>
      <c r="H229" s="1" t="str">
        <f t="shared" si="13"/>
        <v>RAI</v>
      </c>
      <c r="I229" s="1" t="str">
        <f t="shared" si="14"/>
        <v>M.IT.SVLHHNFC.EUR.MIR.Z</v>
      </c>
      <c r="J229" s="4" t="str">
        <f t="shared" si="12"/>
        <v>RAI.M.IT.SVLHHNFC.EUR.MIR.Z</v>
      </c>
    </row>
    <row r="230" spans="1:10" x14ac:dyDescent="0.2">
      <c r="A230" s="1" t="s">
        <v>2009</v>
      </c>
      <c r="B230" s="1">
        <v>1</v>
      </c>
      <c r="C230" s="1">
        <v>7</v>
      </c>
      <c r="D230" s="1" t="s">
        <v>2662</v>
      </c>
      <c r="E230" s="1" t="s">
        <v>2114</v>
      </c>
      <c r="F230" s="1" t="s">
        <v>2446</v>
      </c>
      <c r="G230" s="1" t="s">
        <v>2115</v>
      </c>
      <c r="H230" s="1" t="str">
        <f t="shared" si="13"/>
        <v>RAI</v>
      </c>
      <c r="I230" s="1" t="str">
        <f t="shared" si="14"/>
        <v>M.IT.SVLHPHH.EUR.MIR.Z</v>
      </c>
      <c r="J230" s="4" t="str">
        <f t="shared" si="12"/>
        <v>RAI.M.IT.SVLHPHH.EUR.MIR.Z</v>
      </c>
    </row>
    <row r="231" spans="1:10" x14ac:dyDescent="0.2">
      <c r="A231" s="1" t="s">
        <v>2009</v>
      </c>
      <c r="B231" s="1">
        <v>1</v>
      </c>
      <c r="C231" s="1">
        <v>7</v>
      </c>
      <c r="D231" s="1" t="s">
        <v>2662</v>
      </c>
      <c r="E231" s="1" t="s">
        <v>2116</v>
      </c>
      <c r="F231" s="1" t="s">
        <v>2447</v>
      </c>
      <c r="G231" s="1" t="s">
        <v>2117</v>
      </c>
      <c r="H231" s="1" t="str">
        <f t="shared" si="13"/>
        <v>RAI</v>
      </c>
      <c r="I231" s="1" t="str">
        <f t="shared" si="14"/>
        <v>Q.IT.SVLOAHH.EUR.BSI.Z</v>
      </c>
      <c r="J231" s="4" t="str">
        <f t="shared" si="12"/>
        <v>RAI.Q.IT.SVLOAHH.EUR.BSI.Z</v>
      </c>
    </row>
    <row r="232" spans="1:10" x14ac:dyDescent="0.2">
      <c r="A232" s="1" t="s">
        <v>2009</v>
      </c>
      <c r="B232" s="1">
        <v>1</v>
      </c>
      <c r="C232" s="1">
        <v>7</v>
      </c>
      <c r="D232" s="1" t="s">
        <v>2662</v>
      </c>
      <c r="E232" s="1" t="s">
        <v>2118</v>
      </c>
      <c r="F232" s="1" t="s">
        <v>2448</v>
      </c>
      <c r="G232" s="1" t="s">
        <v>2119</v>
      </c>
      <c r="H232" s="1" t="str">
        <f t="shared" si="13"/>
        <v>RAI</v>
      </c>
      <c r="I232" s="1" t="str">
        <f t="shared" si="14"/>
        <v>Q.IT.SVLOANFC.EUR.BSI.Z</v>
      </c>
      <c r="J232" s="4" t="str">
        <f t="shared" si="12"/>
        <v>RAI.Q.IT.SVLOANFC.EUR.BSI.Z</v>
      </c>
    </row>
    <row r="233" spans="1:10" x14ac:dyDescent="0.2">
      <c r="A233" s="1" t="s">
        <v>2009</v>
      </c>
      <c r="B233" s="1">
        <v>1</v>
      </c>
      <c r="C233" s="1">
        <v>5</v>
      </c>
      <c r="D233" s="1" t="s">
        <v>2660</v>
      </c>
      <c r="E233" s="1" t="s">
        <v>2120</v>
      </c>
      <c r="F233" s="1" t="s">
        <v>2459</v>
      </c>
      <c r="G233" s="1" t="s">
        <v>2121</v>
      </c>
      <c r="H233" s="1" t="str">
        <f t="shared" si="13"/>
        <v>CSEC</v>
      </c>
      <c r="I233" s="1" t="str">
        <f t="shared" si="14"/>
        <v>M.N.IT.W0.S11.S1.N.L.LE.F3.T._Z.EUR._T.M.V.N._T</v>
      </c>
      <c r="J233" s="4" t="str">
        <f t="shared" si="12"/>
        <v>CSEC.M.N.IT.W0.S11.S1.N.L.LE.F3.T._Z.EUR._T.M.V.N._T</v>
      </c>
    </row>
    <row r="234" spans="1:10" x14ac:dyDescent="0.2">
      <c r="A234" s="1" t="s">
        <v>2009</v>
      </c>
      <c r="B234" s="1">
        <v>1</v>
      </c>
      <c r="C234" s="1">
        <v>5</v>
      </c>
      <c r="D234" s="1" t="s">
        <v>2660</v>
      </c>
      <c r="E234" s="1" t="s">
        <v>2122</v>
      </c>
      <c r="F234" s="1" t="s">
        <v>2460</v>
      </c>
      <c r="G234" s="1" t="s">
        <v>2123</v>
      </c>
      <c r="H234" s="1" t="str">
        <f t="shared" si="13"/>
        <v>CSEC</v>
      </c>
      <c r="I234" s="1" t="str">
        <f t="shared" si="14"/>
        <v>M.N.IT.W0.S12.S1.N.L.LE.F3.T._Z.EUR._T.M.V.N._T</v>
      </c>
      <c r="J234" s="4" t="str">
        <f t="shared" si="12"/>
        <v>CSEC.M.N.IT.W0.S12.S1.N.L.LE.F3.T._Z.EUR._T.M.V.N._T</v>
      </c>
    </row>
    <row r="235" spans="1:10" x14ac:dyDescent="0.2">
      <c r="A235" s="1" t="s">
        <v>2009</v>
      </c>
      <c r="B235" s="1">
        <v>1</v>
      </c>
      <c r="C235" s="1">
        <v>5</v>
      </c>
      <c r="D235" s="1" t="s">
        <v>2660</v>
      </c>
      <c r="E235" s="1" t="s">
        <v>2359</v>
      </c>
      <c r="F235" s="1" t="s">
        <v>2461</v>
      </c>
      <c r="G235" s="1" t="s">
        <v>2124</v>
      </c>
      <c r="H235" s="1" t="str">
        <f t="shared" si="13"/>
        <v>CSEC</v>
      </c>
      <c r="I235" s="1" t="str">
        <f t="shared" si="14"/>
        <v>M.N.IT.W0.S13.S1.N.L.LE.F3.T._Z.EUR._T.M.V.N._T</v>
      </c>
      <c r="J235" s="4" t="str">
        <f t="shared" ref="J235:J298" si="15">+HYPERLINK("https://data.ecb.europa.eu/data/datasets/"&amp;H235&amp;"/"&amp;G235,G235)</f>
        <v>CSEC.M.N.IT.W0.S13.S1.N.L.LE.F3.T._Z.EUR._T.M.V.N._T</v>
      </c>
    </row>
    <row r="236" spans="1:10" x14ac:dyDescent="0.2">
      <c r="A236" s="1" t="s">
        <v>2009</v>
      </c>
      <c r="B236" s="1">
        <v>1</v>
      </c>
      <c r="C236" s="1">
        <v>5</v>
      </c>
      <c r="D236" s="1" t="s">
        <v>2660</v>
      </c>
      <c r="E236" s="1" t="s">
        <v>2125</v>
      </c>
      <c r="F236" s="1" t="s">
        <v>2462</v>
      </c>
      <c r="G236" s="1" t="s">
        <v>2126</v>
      </c>
      <c r="H236" s="1" t="str">
        <f t="shared" si="13"/>
        <v>CSEC</v>
      </c>
      <c r="I236" s="1" t="str">
        <f t="shared" si="14"/>
        <v>M.N.IT.W0.S1.S1.N.L.LE.F3.T._Z.EUR._T.M.V.N._T</v>
      </c>
      <c r="J236" s="4" t="str">
        <f t="shared" si="15"/>
        <v>CSEC.M.N.IT.W0.S1.S1.N.L.LE.F3.T._Z.EUR._T.M.V.N._T</v>
      </c>
    </row>
    <row r="237" spans="1:10" x14ac:dyDescent="0.2">
      <c r="A237" s="1" t="s">
        <v>2009</v>
      </c>
      <c r="B237" s="1">
        <v>1</v>
      </c>
      <c r="C237" s="1">
        <v>4</v>
      </c>
      <c r="D237" s="1" t="s">
        <v>1945</v>
      </c>
      <c r="E237" s="1" t="s">
        <v>1746</v>
      </c>
      <c r="F237" s="1" t="s">
        <v>2463</v>
      </c>
      <c r="G237" s="1" t="s">
        <v>2360</v>
      </c>
      <c r="H237" s="1" t="str">
        <f t="shared" si="13"/>
        <v>MNA</v>
      </c>
      <c r="I237" s="1" t="str">
        <f t="shared" si="14"/>
        <v>Q.N.IT.W2.S1.S1.B.B1GQ._Z._Z._Z.EUR.LR.N</v>
      </c>
      <c r="J237" s="4" t="str">
        <f t="shared" si="15"/>
        <v>MNA.Q.N.IT.W2.S1.S1.B.B1GQ._Z._Z._Z.EUR.LR.N</v>
      </c>
    </row>
    <row r="238" spans="1:10" x14ac:dyDescent="0.2">
      <c r="A238" s="1" t="s">
        <v>2009</v>
      </c>
      <c r="B238" s="1">
        <v>1</v>
      </c>
      <c r="C238" s="1">
        <v>4</v>
      </c>
      <c r="D238" s="1" t="s">
        <v>1945</v>
      </c>
      <c r="E238" s="1" t="s">
        <v>1746</v>
      </c>
      <c r="F238" s="1" t="s">
        <v>2464</v>
      </c>
      <c r="G238" s="1" t="s">
        <v>1968</v>
      </c>
      <c r="H238" s="1" t="str">
        <f t="shared" si="13"/>
        <v>MNA</v>
      </c>
      <c r="I238" s="1" t="str">
        <f t="shared" si="14"/>
        <v>Q.N.IT.W2.S1.S1.B.B1GQ._Z._Z._Z.EUR.V.N</v>
      </c>
      <c r="J238" s="4" t="str">
        <f t="shared" si="15"/>
        <v>MNA.Q.N.IT.W2.S1.S1.B.B1GQ._Z._Z._Z.EUR.V.N</v>
      </c>
    </row>
    <row r="239" spans="1:10" x14ac:dyDescent="0.2">
      <c r="A239" s="1" t="s">
        <v>2009</v>
      </c>
      <c r="B239" s="1">
        <v>1</v>
      </c>
      <c r="C239" s="1">
        <v>4</v>
      </c>
      <c r="D239" s="1" t="s">
        <v>1945</v>
      </c>
      <c r="E239" s="1" t="s">
        <v>1746</v>
      </c>
      <c r="F239" s="1" t="s">
        <v>2465</v>
      </c>
      <c r="G239" s="1" t="s">
        <v>2361</v>
      </c>
      <c r="H239" s="1" t="str">
        <f t="shared" si="13"/>
        <v>MNA</v>
      </c>
      <c r="I239" s="1" t="str">
        <f t="shared" si="14"/>
        <v>Q.Y.IT.W2.S1.S1.B.B1GQ._Z._Z._Z.EUR.LR.N</v>
      </c>
      <c r="J239" s="4" t="str">
        <f t="shared" si="15"/>
        <v>MNA.Q.Y.IT.W2.S1.S1.B.B1GQ._Z._Z._Z.EUR.LR.N</v>
      </c>
    </row>
    <row r="240" spans="1:10" x14ac:dyDescent="0.2">
      <c r="A240" s="1" t="s">
        <v>2009</v>
      </c>
      <c r="B240" s="1">
        <v>1</v>
      </c>
      <c r="C240" s="1">
        <v>4</v>
      </c>
      <c r="D240" s="1" t="s">
        <v>1945</v>
      </c>
      <c r="E240" s="1" t="s">
        <v>1746</v>
      </c>
      <c r="F240" s="1" t="s">
        <v>2466</v>
      </c>
      <c r="G240" s="1" t="s">
        <v>2362</v>
      </c>
      <c r="H240" s="1" t="str">
        <f t="shared" si="13"/>
        <v>MNA</v>
      </c>
      <c r="I240" s="1" t="str">
        <f t="shared" si="14"/>
        <v>Q.Y.IT.W2.S1.S1.B.B1GQ._Z._Z._Z.EUR.V.N</v>
      </c>
      <c r="J240" s="4" t="str">
        <f t="shared" si="15"/>
        <v>MNA.Q.Y.IT.W2.S1.S1.B.B1GQ._Z._Z._Z.EUR.V.N</v>
      </c>
    </row>
    <row r="241" spans="1:10" x14ac:dyDescent="0.2">
      <c r="A241" s="1" t="s">
        <v>2009</v>
      </c>
      <c r="B241" s="1">
        <v>1</v>
      </c>
      <c r="C241" s="1">
        <v>4</v>
      </c>
      <c r="D241" s="1" t="s">
        <v>1945</v>
      </c>
      <c r="E241" s="1" t="s">
        <v>2363</v>
      </c>
      <c r="F241" s="1" t="s">
        <v>2467</v>
      </c>
      <c r="G241" s="1" t="s">
        <v>2364</v>
      </c>
      <c r="H241" s="1" t="str">
        <f t="shared" si="13"/>
        <v>MNA</v>
      </c>
      <c r="I241" s="1" t="str">
        <f t="shared" si="14"/>
        <v>Q.N.IT.W0.S1M.S1.D.P31._Z._Z._T.EUR.LR.N</v>
      </c>
      <c r="J241" s="4" t="str">
        <f t="shared" si="15"/>
        <v>MNA.Q.N.IT.W0.S1M.S1.D.P31._Z._Z._T.EUR.LR.N</v>
      </c>
    </row>
    <row r="242" spans="1:10" x14ac:dyDescent="0.2">
      <c r="A242" s="1" t="s">
        <v>2009</v>
      </c>
      <c r="B242" s="1">
        <v>1</v>
      </c>
      <c r="C242" s="1">
        <v>4</v>
      </c>
      <c r="D242" s="1" t="s">
        <v>1945</v>
      </c>
      <c r="E242" s="1" t="s">
        <v>2363</v>
      </c>
      <c r="F242" s="1" t="s">
        <v>2468</v>
      </c>
      <c r="G242" s="1" t="s">
        <v>2365</v>
      </c>
      <c r="H242" s="1" t="str">
        <f t="shared" si="13"/>
        <v>MNA</v>
      </c>
      <c r="I242" s="1" t="str">
        <f t="shared" si="14"/>
        <v>Q.N.IT.W0.S1M.S1.D.P31._Z._Z._T.EUR.V.N</v>
      </c>
      <c r="J242" s="4" t="str">
        <f t="shared" si="15"/>
        <v>MNA.Q.N.IT.W0.S1M.S1.D.P31._Z._Z._T.EUR.V.N</v>
      </c>
    </row>
    <row r="243" spans="1:10" x14ac:dyDescent="0.2">
      <c r="A243" s="1" t="s">
        <v>2009</v>
      </c>
      <c r="B243" s="1">
        <v>1</v>
      </c>
      <c r="C243" s="1">
        <v>4</v>
      </c>
      <c r="D243" s="1" t="s">
        <v>1945</v>
      </c>
      <c r="E243" s="1" t="s">
        <v>2363</v>
      </c>
      <c r="F243" s="1" t="s">
        <v>2469</v>
      </c>
      <c r="G243" s="1" t="s">
        <v>1975</v>
      </c>
      <c r="H243" s="1" t="str">
        <f t="shared" si="13"/>
        <v>MNA</v>
      </c>
      <c r="I243" s="1" t="str">
        <f t="shared" si="14"/>
        <v>Q.Y.IT.W0.S1M.S1.D.P31._Z._Z._T.EUR.LR.N</v>
      </c>
      <c r="J243" s="4" t="str">
        <f t="shared" si="15"/>
        <v>MNA.Q.Y.IT.W0.S1M.S1.D.P31._Z._Z._T.EUR.LR.N</v>
      </c>
    </row>
    <row r="244" spans="1:10" x14ac:dyDescent="0.2">
      <c r="A244" s="1" t="s">
        <v>2009</v>
      </c>
      <c r="B244" s="1">
        <v>1</v>
      </c>
      <c r="C244" s="1">
        <v>4</v>
      </c>
      <c r="D244" s="1" t="s">
        <v>1945</v>
      </c>
      <c r="E244" s="1" t="s">
        <v>2363</v>
      </c>
      <c r="F244" s="1" t="s">
        <v>2470</v>
      </c>
      <c r="G244" s="1" t="s">
        <v>1969</v>
      </c>
      <c r="H244" s="1" t="str">
        <f t="shared" si="13"/>
        <v>MNA</v>
      </c>
      <c r="I244" s="1" t="str">
        <f t="shared" si="14"/>
        <v>Q.Y.IT.W0.S1M.S1.D.P31._Z._Z._T.EUR.V.N</v>
      </c>
      <c r="J244" s="4" t="str">
        <f t="shared" si="15"/>
        <v>MNA.Q.Y.IT.W0.S1M.S1.D.P31._Z._Z._T.EUR.V.N</v>
      </c>
    </row>
    <row r="245" spans="1:10" x14ac:dyDescent="0.2">
      <c r="A245" s="1" t="s">
        <v>2009</v>
      </c>
      <c r="B245" s="1">
        <v>1</v>
      </c>
      <c r="C245" s="1">
        <v>4</v>
      </c>
      <c r="D245" s="1" t="s">
        <v>1945</v>
      </c>
      <c r="E245" s="1" t="s">
        <v>2366</v>
      </c>
      <c r="F245" s="1" t="s">
        <v>2471</v>
      </c>
      <c r="G245" s="1" t="s">
        <v>2367</v>
      </c>
      <c r="H245" s="1" t="str">
        <f t="shared" si="13"/>
        <v>MNA</v>
      </c>
      <c r="I245" s="1" t="str">
        <f t="shared" si="14"/>
        <v>Q.N.IT.W0.S13.S1.D.P3._Z._Z._T.EUR.LR.N</v>
      </c>
      <c r="J245" s="4" t="str">
        <f t="shared" si="15"/>
        <v>MNA.Q.N.IT.W0.S13.S1.D.P3._Z._Z._T.EUR.LR.N</v>
      </c>
    </row>
    <row r="246" spans="1:10" x14ac:dyDescent="0.2">
      <c r="A246" s="1" t="s">
        <v>2009</v>
      </c>
      <c r="B246" s="1">
        <v>1</v>
      </c>
      <c r="C246" s="1">
        <v>4</v>
      </c>
      <c r="D246" s="1" t="s">
        <v>1945</v>
      </c>
      <c r="E246" s="1" t="s">
        <v>2366</v>
      </c>
      <c r="F246" s="1" t="s">
        <v>2472</v>
      </c>
      <c r="G246" s="1" t="s">
        <v>2368</v>
      </c>
      <c r="H246" s="1" t="str">
        <f t="shared" si="13"/>
        <v>MNA</v>
      </c>
      <c r="I246" s="1" t="str">
        <f t="shared" si="14"/>
        <v>Q.N.IT.W0.S13.S1.D.P3._Z._Z._T.EUR.V.N</v>
      </c>
      <c r="J246" s="4" t="str">
        <f t="shared" si="15"/>
        <v>MNA.Q.N.IT.W0.S13.S1.D.P3._Z._Z._T.EUR.V.N</v>
      </c>
    </row>
    <row r="247" spans="1:10" x14ac:dyDescent="0.2">
      <c r="A247" s="1" t="s">
        <v>2009</v>
      </c>
      <c r="B247" s="1">
        <v>1</v>
      </c>
      <c r="C247" s="1">
        <v>4</v>
      </c>
      <c r="D247" s="1" t="s">
        <v>1945</v>
      </c>
      <c r="E247" s="1" t="s">
        <v>2366</v>
      </c>
      <c r="F247" s="1" t="s">
        <v>2473</v>
      </c>
      <c r="G247" s="1" t="s">
        <v>2369</v>
      </c>
      <c r="H247" s="1" t="str">
        <f t="shared" si="13"/>
        <v>MNA</v>
      </c>
      <c r="I247" s="1" t="str">
        <f t="shared" si="14"/>
        <v>Q.Y.IT.W0.S13.S1.D.P3._Z._Z._T.EUR.LR.N</v>
      </c>
      <c r="J247" s="4" t="str">
        <f t="shared" si="15"/>
        <v>MNA.Q.Y.IT.W0.S13.S1.D.P3._Z._Z._T.EUR.LR.N</v>
      </c>
    </row>
    <row r="248" spans="1:10" x14ac:dyDescent="0.2">
      <c r="A248" s="1" t="s">
        <v>2009</v>
      </c>
      <c r="B248" s="1">
        <v>1</v>
      </c>
      <c r="C248" s="1">
        <v>4</v>
      </c>
      <c r="D248" s="1" t="s">
        <v>1945</v>
      </c>
      <c r="E248" s="1" t="s">
        <v>2366</v>
      </c>
      <c r="F248" s="1" t="s">
        <v>2474</v>
      </c>
      <c r="G248" s="1" t="s">
        <v>1979</v>
      </c>
      <c r="H248" s="1" t="str">
        <f t="shared" si="13"/>
        <v>MNA</v>
      </c>
      <c r="I248" s="1" t="str">
        <f t="shared" si="14"/>
        <v>Q.Y.IT.W0.S13.S1.D.P3._Z._Z._T.EUR.V.N</v>
      </c>
      <c r="J248" s="4" t="str">
        <f t="shared" si="15"/>
        <v>MNA.Q.Y.IT.W0.S13.S1.D.P3._Z._Z._T.EUR.V.N</v>
      </c>
    </row>
    <row r="249" spans="1:10" x14ac:dyDescent="0.2">
      <c r="A249" s="1" t="s">
        <v>2009</v>
      </c>
      <c r="B249" s="1">
        <v>1</v>
      </c>
      <c r="C249" s="1">
        <v>4</v>
      </c>
      <c r="D249" s="1" t="s">
        <v>1945</v>
      </c>
      <c r="E249" s="1" t="s">
        <v>2475</v>
      </c>
      <c r="F249" s="1" t="s">
        <v>2476</v>
      </c>
      <c r="G249" s="1" t="s">
        <v>2370</v>
      </c>
      <c r="H249" s="1" t="str">
        <f t="shared" si="13"/>
        <v>MNA</v>
      </c>
      <c r="I249" s="1" t="str">
        <f t="shared" si="14"/>
        <v>Q.N.IT.W0.S1.S1.D.P51G.N117G._T._Z.EUR.V.N</v>
      </c>
      <c r="J249" s="4" t="str">
        <f t="shared" si="15"/>
        <v>MNA.Q.N.IT.W0.S1.S1.D.P51G.N117G._T._Z.EUR.V.N</v>
      </c>
    </row>
    <row r="250" spans="1:10" x14ac:dyDescent="0.2">
      <c r="A250" s="1" t="s">
        <v>2009</v>
      </c>
      <c r="B250" s="1">
        <v>1</v>
      </c>
      <c r="C250" s="1">
        <v>4</v>
      </c>
      <c r="D250" s="1" t="s">
        <v>1945</v>
      </c>
      <c r="E250" s="1" t="s">
        <v>1704</v>
      </c>
      <c r="F250" s="1" t="s">
        <v>2477</v>
      </c>
      <c r="G250" s="1" t="s">
        <v>2371</v>
      </c>
      <c r="H250" s="1" t="str">
        <f t="shared" si="13"/>
        <v>MNA</v>
      </c>
      <c r="I250" s="1" t="str">
        <f t="shared" si="14"/>
        <v>Q.N.IT.W0.S1.S1.D.P51G.N11G._T._Z.EUR.LR.N</v>
      </c>
      <c r="J250" s="4" t="str">
        <f t="shared" si="15"/>
        <v>MNA.Q.N.IT.W0.S1.S1.D.P51G.N11G._T._Z.EUR.LR.N</v>
      </c>
    </row>
    <row r="251" spans="1:10" x14ac:dyDescent="0.2">
      <c r="A251" s="1" t="s">
        <v>2009</v>
      </c>
      <c r="B251" s="1">
        <v>1</v>
      </c>
      <c r="C251" s="1">
        <v>4</v>
      </c>
      <c r="D251" s="1" t="s">
        <v>1945</v>
      </c>
      <c r="E251" s="1" t="s">
        <v>1704</v>
      </c>
      <c r="F251" s="1" t="s">
        <v>2478</v>
      </c>
      <c r="G251" s="1" t="s">
        <v>2372</v>
      </c>
      <c r="H251" s="1" t="str">
        <f t="shared" ref="H251:H307" si="16">LEFT(G251,FIND(".",G251)-1)</f>
        <v>MNA</v>
      </c>
      <c r="I251" s="1" t="str">
        <f t="shared" si="14"/>
        <v>Q.N.IT.W0.S1.S1.D.P51G.N11G._T._Z.EUR.V.N</v>
      </c>
      <c r="J251" s="4" t="str">
        <f t="shared" si="15"/>
        <v>MNA.Q.N.IT.W0.S1.S1.D.P51G.N11G._T._Z.EUR.V.N</v>
      </c>
    </row>
    <row r="252" spans="1:10" x14ac:dyDescent="0.2">
      <c r="A252" s="1" t="s">
        <v>2009</v>
      </c>
      <c r="B252" s="1">
        <v>1</v>
      </c>
      <c r="C252" s="1">
        <v>4</v>
      </c>
      <c r="D252" s="1" t="s">
        <v>1945</v>
      </c>
      <c r="E252" s="1" t="s">
        <v>1704</v>
      </c>
      <c r="F252" s="1" t="s">
        <v>2479</v>
      </c>
      <c r="G252" s="1" t="s">
        <v>2373</v>
      </c>
      <c r="H252" s="1" t="str">
        <f t="shared" si="16"/>
        <v>MNA</v>
      </c>
      <c r="I252" s="1" t="str">
        <f t="shared" ref="I252:I274" si="17">RIGHT(G252,LEN(G252)-FIND(".",G252))</f>
        <v>Q.N.IT.W0.S1.S1.D.P51G.N11KG._T._Z.EUR.V.N</v>
      </c>
      <c r="J252" s="4" t="str">
        <f t="shared" si="15"/>
        <v>MNA.Q.N.IT.W0.S1.S1.D.P51G.N11KG._T._Z.EUR.V.N</v>
      </c>
    </row>
    <row r="253" spans="1:10" x14ac:dyDescent="0.2">
      <c r="A253" s="1" t="s">
        <v>2009</v>
      </c>
      <c r="B253" s="1">
        <v>1</v>
      </c>
      <c r="C253" s="1">
        <v>4</v>
      </c>
      <c r="D253" s="1" t="s">
        <v>1945</v>
      </c>
      <c r="E253" s="1" t="s">
        <v>1704</v>
      </c>
      <c r="F253" s="1" t="s">
        <v>2480</v>
      </c>
      <c r="G253" s="1" t="s">
        <v>2374</v>
      </c>
      <c r="H253" s="1" t="str">
        <f t="shared" si="16"/>
        <v>MNA</v>
      </c>
      <c r="I253" s="1" t="str">
        <f t="shared" si="17"/>
        <v>Q.N.IT.W0.S1.S1.D.P51G.N11MG._T._Z.EUR.V.N</v>
      </c>
      <c r="J253" s="4" t="str">
        <f t="shared" si="15"/>
        <v>MNA.Q.N.IT.W0.S1.S1.D.P51G.N11MG._T._Z.EUR.V.N</v>
      </c>
    </row>
    <row r="254" spans="1:10" x14ac:dyDescent="0.2">
      <c r="A254" s="1" t="s">
        <v>2009</v>
      </c>
      <c r="B254" s="1">
        <v>1</v>
      </c>
      <c r="C254" s="1">
        <v>4</v>
      </c>
      <c r="D254" s="1" t="s">
        <v>1945</v>
      </c>
      <c r="E254" s="1" t="s">
        <v>1704</v>
      </c>
      <c r="F254" s="1" t="s">
        <v>2481</v>
      </c>
      <c r="G254" s="1" t="s">
        <v>2375</v>
      </c>
      <c r="H254" s="1" t="str">
        <f t="shared" si="16"/>
        <v>MNA</v>
      </c>
      <c r="I254" s="1" t="str">
        <f t="shared" si="17"/>
        <v>Q.Y.IT.W0.S1.S1.D.P51G.N117G._T._Z.EUR.V.N</v>
      </c>
      <c r="J254" s="4" t="str">
        <f t="shared" si="15"/>
        <v>MNA.Q.Y.IT.W0.S1.S1.D.P51G.N117G._T._Z.EUR.V.N</v>
      </c>
    </row>
    <row r="255" spans="1:10" x14ac:dyDescent="0.2">
      <c r="A255" s="1" t="s">
        <v>2009</v>
      </c>
      <c r="B255" s="1">
        <v>1</v>
      </c>
      <c r="C255" s="1">
        <v>4</v>
      </c>
      <c r="D255" s="1" t="s">
        <v>1945</v>
      </c>
      <c r="E255" s="1" t="s">
        <v>1704</v>
      </c>
      <c r="F255" s="1" t="s">
        <v>2482</v>
      </c>
      <c r="G255" s="1" t="s">
        <v>1976</v>
      </c>
      <c r="H255" s="1" t="str">
        <f t="shared" si="16"/>
        <v>MNA</v>
      </c>
      <c r="I255" s="1" t="str">
        <f t="shared" si="17"/>
        <v>Q.Y.IT.W0.S1.S1.D.P51G.N11G._T._Z.EUR.LR.N</v>
      </c>
      <c r="J255" s="4" t="str">
        <f t="shared" si="15"/>
        <v>MNA.Q.Y.IT.W0.S1.S1.D.P51G.N11G._T._Z.EUR.LR.N</v>
      </c>
    </row>
    <row r="256" spans="1:10" x14ac:dyDescent="0.2">
      <c r="A256" s="1" t="s">
        <v>2009</v>
      </c>
      <c r="B256" s="1">
        <v>1</v>
      </c>
      <c r="C256" s="1">
        <v>4</v>
      </c>
      <c r="D256" s="1" t="s">
        <v>1945</v>
      </c>
      <c r="E256" s="1" t="s">
        <v>1704</v>
      </c>
      <c r="F256" s="1" t="s">
        <v>2483</v>
      </c>
      <c r="G256" s="1" t="s">
        <v>1970</v>
      </c>
      <c r="H256" s="1" t="str">
        <f t="shared" si="16"/>
        <v>MNA</v>
      </c>
      <c r="I256" s="1" t="str">
        <f t="shared" si="17"/>
        <v>Q.Y.IT.W0.S1.S1.D.P51G.N11G._T._Z.EUR.V.N</v>
      </c>
      <c r="J256" s="4" t="str">
        <f t="shared" si="15"/>
        <v>MNA.Q.Y.IT.W0.S1.S1.D.P51G.N11G._T._Z.EUR.V.N</v>
      </c>
    </row>
    <row r="257" spans="1:10" x14ac:dyDescent="0.2">
      <c r="A257" s="1" t="s">
        <v>2009</v>
      </c>
      <c r="B257" s="1">
        <v>1</v>
      </c>
      <c r="C257" s="1">
        <v>4</v>
      </c>
      <c r="D257" s="1" t="s">
        <v>1945</v>
      </c>
      <c r="E257" s="1" t="s">
        <v>1704</v>
      </c>
      <c r="F257" s="1" t="s">
        <v>2484</v>
      </c>
      <c r="G257" s="1" t="s">
        <v>2376</v>
      </c>
      <c r="H257" s="1" t="str">
        <f t="shared" si="16"/>
        <v>MNA</v>
      </c>
      <c r="I257" s="1" t="str">
        <f t="shared" si="17"/>
        <v>Q.Y.IT.W0.S1.S1.D.P51G.N11KG._T._Z.EUR.V.N</v>
      </c>
      <c r="J257" s="4" t="str">
        <f t="shared" si="15"/>
        <v>MNA.Q.Y.IT.W0.S1.S1.D.P51G.N11KG._T._Z.EUR.V.N</v>
      </c>
    </row>
    <row r="258" spans="1:10" x14ac:dyDescent="0.2">
      <c r="A258" s="1" t="s">
        <v>2009</v>
      </c>
      <c r="B258" s="1">
        <v>1</v>
      </c>
      <c r="C258" s="1">
        <v>4</v>
      </c>
      <c r="D258" s="1" t="s">
        <v>1945</v>
      </c>
      <c r="E258" s="1" t="s">
        <v>1704</v>
      </c>
      <c r="F258" s="1" t="s">
        <v>2480</v>
      </c>
      <c r="G258" s="1" t="s">
        <v>2377</v>
      </c>
      <c r="H258" s="1" t="str">
        <f t="shared" si="16"/>
        <v>MNA</v>
      </c>
      <c r="I258" s="1" t="str">
        <f t="shared" si="17"/>
        <v>Q.Y.IT.W0.S1.S1.D.P51G.N11MG._T._Z.EUR.V.N</v>
      </c>
      <c r="J258" s="4" t="str">
        <f t="shared" si="15"/>
        <v>MNA.Q.Y.IT.W0.S1.S1.D.P51G.N11MG._T._Z.EUR.V.N</v>
      </c>
    </row>
    <row r="259" spans="1:10" x14ac:dyDescent="0.2">
      <c r="A259" s="1" t="s">
        <v>2009</v>
      </c>
      <c r="B259" s="1">
        <v>1</v>
      </c>
      <c r="C259" s="1">
        <v>4</v>
      </c>
      <c r="D259" s="1" t="s">
        <v>1945</v>
      </c>
      <c r="E259" s="1" t="s">
        <v>2378</v>
      </c>
      <c r="F259" s="1" t="s">
        <v>2485</v>
      </c>
      <c r="G259" s="1" t="s">
        <v>2379</v>
      </c>
      <c r="H259" s="1" t="str">
        <f t="shared" si="16"/>
        <v>MNA</v>
      </c>
      <c r="I259" s="1" t="str">
        <f t="shared" si="17"/>
        <v>Q.N.I9.W0.S1.S1.D.P5M.N1MG._T._Z.EUR.V.N</v>
      </c>
      <c r="J259" s="4" t="str">
        <f t="shared" si="15"/>
        <v>MNA.Q.N.I9.W0.S1.S1.D.P5M.N1MG._T._Z.EUR.V.N</v>
      </c>
    </row>
    <row r="260" spans="1:10" x14ac:dyDescent="0.2">
      <c r="A260" s="1" t="s">
        <v>2009</v>
      </c>
      <c r="B260" s="1">
        <v>1</v>
      </c>
      <c r="C260" s="1">
        <v>4</v>
      </c>
      <c r="D260" s="1" t="s">
        <v>1945</v>
      </c>
      <c r="E260" s="1" t="s">
        <v>2378</v>
      </c>
      <c r="F260" s="1" t="s">
        <v>2486</v>
      </c>
      <c r="G260" s="1" t="s">
        <v>1980</v>
      </c>
      <c r="H260" s="1" t="str">
        <f t="shared" si="16"/>
        <v>MNA</v>
      </c>
      <c r="I260" s="1" t="str">
        <f t="shared" si="17"/>
        <v>Q.Y.I9.W0.S1.S1.D.P5M.N1MG._T._Z.EUR.V.N</v>
      </c>
      <c r="J260" s="4" t="str">
        <f t="shared" si="15"/>
        <v>MNA.Q.Y.I9.W0.S1.S1.D.P5M.N1MG._T._Z.EUR.V.N</v>
      </c>
    </row>
    <row r="261" spans="1:10" x14ac:dyDescent="0.2">
      <c r="A261" s="1" t="s">
        <v>2009</v>
      </c>
      <c r="B261" s="1">
        <v>1</v>
      </c>
      <c r="C261" s="1">
        <v>4</v>
      </c>
      <c r="D261" s="1" t="s">
        <v>1945</v>
      </c>
      <c r="E261" s="1" t="s">
        <v>2380</v>
      </c>
      <c r="F261" s="1" t="s">
        <v>2487</v>
      </c>
      <c r="G261" s="1" t="s">
        <v>2381</v>
      </c>
      <c r="H261" s="1" t="str">
        <f t="shared" si="16"/>
        <v>MNA</v>
      </c>
      <c r="I261" s="1" t="str">
        <f t="shared" si="17"/>
        <v>Q.N.IT.W0.S1.S1.D.P3T5._Z._Z._Z.EUR.LR.N</v>
      </c>
      <c r="J261" s="4" t="str">
        <f t="shared" si="15"/>
        <v>MNA.Q.N.IT.W0.S1.S1.D.P3T5._Z._Z._Z.EUR.LR.N</v>
      </c>
    </row>
    <row r="262" spans="1:10" x14ac:dyDescent="0.2">
      <c r="A262" s="1" t="s">
        <v>2009</v>
      </c>
      <c r="B262" s="1">
        <v>1</v>
      </c>
      <c r="C262" s="1">
        <v>4</v>
      </c>
      <c r="D262" s="1" t="s">
        <v>1945</v>
      </c>
      <c r="E262" s="1" t="s">
        <v>2382</v>
      </c>
      <c r="F262" s="1" t="s">
        <v>2488</v>
      </c>
      <c r="G262" s="1" t="s">
        <v>1972</v>
      </c>
      <c r="H262" s="1" t="str">
        <f t="shared" si="16"/>
        <v>MNA</v>
      </c>
      <c r="I262" s="1" t="str">
        <f t="shared" si="17"/>
        <v>Q.N.IT.W0.S1.S1.D.P3T5._Z._Z._Z.EUR.V.N</v>
      </c>
      <c r="J262" s="4" t="str">
        <f t="shared" si="15"/>
        <v>MNA.Q.N.IT.W0.S1.S1.D.P3T5._Z._Z._Z.EUR.V.N</v>
      </c>
    </row>
    <row r="263" spans="1:10" x14ac:dyDescent="0.2">
      <c r="A263" s="1" t="s">
        <v>2009</v>
      </c>
      <c r="B263" s="1">
        <v>1</v>
      </c>
      <c r="C263" s="1">
        <v>4</v>
      </c>
      <c r="D263" s="1" t="s">
        <v>1945</v>
      </c>
      <c r="E263" s="1" t="s">
        <v>2380</v>
      </c>
      <c r="F263" s="1" t="s">
        <v>2489</v>
      </c>
      <c r="G263" s="1" t="s">
        <v>1977</v>
      </c>
      <c r="H263" s="1" t="str">
        <f t="shared" si="16"/>
        <v>MNA</v>
      </c>
      <c r="I263" s="1" t="str">
        <f t="shared" si="17"/>
        <v>Q.Y.IT.W0.S1.S1.D.P3T5._Z._Z._Z.EUR.LR.N</v>
      </c>
      <c r="J263" s="4" t="str">
        <f t="shared" si="15"/>
        <v>MNA.Q.Y.IT.W0.S1.S1.D.P3T5._Z._Z._Z.EUR.LR.N</v>
      </c>
    </row>
    <row r="264" spans="1:10" x14ac:dyDescent="0.2">
      <c r="A264" s="1" t="s">
        <v>2009</v>
      </c>
      <c r="B264" s="1">
        <v>1</v>
      </c>
      <c r="C264" s="1">
        <v>4</v>
      </c>
      <c r="D264" s="1" t="s">
        <v>1945</v>
      </c>
      <c r="E264" s="1" t="s">
        <v>2382</v>
      </c>
      <c r="F264" s="1" t="s">
        <v>2490</v>
      </c>
      <c r="G264" s="1" t="s">
        <v>1971</v>
      </c>
      <c r="H264" s="1" t="str">
        <f t="shared" si="16"/>
        <v>MNA</v>
      </c>
      <c r="I264" s="1" t="str">
        <f t="shared" si="17"/>
        <v>Q.Y.IT.W0.S1.S1.D.P3T5._Z._Z._Z.EUR.V.N</v>
      </c>
      <c r="J264" s="4" t="str">
        <f t="shared" si="15"/>
        <v>MNA.Q.Y.IT.W0.S1.S1.D.P3T5._Z._Z._Z.EUR.V.N</v>
      </c>
    </row>
    <row r="265" spans="1:10" x14ac:dyDescent="0.2">
      <c r="A265" s="1" t="s">
        <v>2009</v>
      </c>
      <c r="B265" s="1">
        <v>1</v>
      </c>
      <c r="C265" s="1">
        <v>4</v>
      </c>
      <c r="D265" s="1" t="s">
        <v>1945</v>
      </c>
      <c r="E265" s="1" t="s">
        <v>1694</v>
      </c>
      <c r="F265" s="1" t="s">
        <v>2491</v>
      </c>
      <c r="G265" s="1" t="s">
        <v>2383</v>
      </c>
      <c r="H265" s="1" t="str">
        <f t="shared" si="16"/>
        <v>MNA</v>
      </c>
      <c r="I265" s="1" t="str">
        <f t="shared" si="17"/>
        <v>Q.N.IT.W1.S1.S1.D.P6._Z._Z._Z.EUR.LR.N</v>
      </c>
      <c r="J265" s="4" t="str">
        <f t="shared" si="15"/>
        <v>MNA.Q.N.IT.W1.S1.S1.D.P6._Z._Z._Z.EUR.LR.N</v>
      </c>
    </row>
    <row r="266" spans="1:10" x14ac:dyDescent="0.2">
      <c r="A266" s="1" t="s">
        <v>2009</v>
      </c>
      <c r="B266" s="1">
        <v>1</v>
      </c>
      <c r="C266" s="1">
        <v>4</v>
      </c>
      <c r="D266" s="1" t="s">
        <v>1945</v>
      </c>
      <c r="E266" s="1" t="s">
        <v>1694</v>
      </c>
      <c r="F266" s="1" t="s">
        <v>2492</v>
      </c>
      <c r="G266" s="1" t="s">
        <v>2384</v>
      </c>
      <c r="H266" s="1" t="str">
        <f t="shared" si="16"/>
        <v>MNA</v>
      </c>
      <c r="I266" s="1" t="str">
        <f t="shared" si="17"/>
        <v>Q.N.IT.W1.S1.S1.D.P6._Z._Z._Z.EUR.V.N</v>
      </c>
      <c r="J266" s="4" t="str">
        <f t="shared" si="15"/>
        <v>MNA.Q.N.IT.W1.S1.S1.D.P6._Z._Z._Z.EUR.V.N</v>
      </c>
    </row>
    <row r="267" spans="1:10" x14ac:dyDescent="0.2">
      <c r="A267" s="1" t="s">
        <v>2009</v>
      </c>
      <c r="B267" s="1">
        <v>1</v>
      </c>
      <c r="C267" s="1">
        <v>4</v>
      </c>
      <c r="D267" s="1" t="s">
        <v>1945</v>
      </c>
      <c r="E267" s="1" t="s">
        <v>1694</v>
      </c>
      <c r="F267" s="1" t="s">
        <v>2493</v>
      </c>
      <c r="G267" s="1" t="s">
        <v>2385</v>
      </c>
      <c r="H267" s="1" t="str">
        <f t="shared" si="16"/>
        <v>MNA</v>
      </c>
      <c r="I267" s="1" t="str">
        <f t="shared" si="17"/>
        <v>Q.Y.IT.W1.S1.S1.D.P6._Z._Z._Z.EUR.LR.N</v>
      </c>
      <c r="J267" s="4" t="str">
        <f t="shared" si="15"/>
        <v>MNA.Q.Y.IT.W1.S1.S1.D.P6._Z._Z._Z.EUR.LR.N</v>
      </c>
    </row>
    <row r="268" spans="1:10" x14ac:dyDescent="0.2">
      <c r="A268" s="1" t="s">
        <v>2009</v>
      </c>
      <c r="B268" s="1">
        <v>1</v>
      </c>
      <c r="C268" s="1">
        <v>4</v>
      </c>
      <c r="D268" s="1" t="s">
        <v>1945</v>
      </c>
      <c r="E268" s="1" t="s">
        <v>1694</v>
      </c>
      <c r="F268" s="1" t="s">
        <v>2494</v>
      </c>
      <c r="G268" s="1" t="s">
        <v>1973</v>
      </c>
      <c r="H268" s="1" t="str">
        <f t="shared" si="16"/>
        <v>MNA</v>
      </c>
      <c r="I268" s="1" t="str">
        <f t="shared" si="17"/>
        <v>Q.Y.IT.W1.S1.S1.D.P6._Z._Z._Z.EUR.V.N</v>
      </c>
      <c r="J268" s="4" t="str">
        <f t="shared" si="15"/>
        <v>MNA.Q.Y.IT.W1.S1.S1.D.P6._Z._Z._Z.EUR.V.N</v>
      </c>
    </row>
    <row r="269" spans="1:10" x14ac:dyDescent="0.2">
      <c r="A269" s="1" t="s">
        <v>2009</v>
      </c>
      <c r="B269" s="1">
        <v>1</v>
      </c>
      <c r="C269" s="1">
        <v>4</v>
      </c>
      <c r="D269" s="1" t="s">
        <v>1945</v>
      </c>
      <c r="E269" s="1" t="s">
        <v>1688</v>
      </c>
      <c r="F269" s="1" t="s">
        <v>2495</v>
      </c>
      <c r="G269" s="1" t="s">
        <v>2386</v>
      </c>
      <c r="H269" s="1" t="str">
        <f t="shared" si="16"/>
        <v>MNA</v>
      </c>
      <c r="I269" s="1" t="str">
        <f t="shared" si="17"/>
        <v>Q.N.IT.W1.S1.S1.C.P7._Z._Z._Z.EUR.LR.N</v>
      </c>
      <c r="J269" s="4" t="str">
        <f t="shared" si="15"/>
        <v>MNA.Q.N.IT.W1.S1.S1.C.P7._Z._Z._Z.EUR.LR.N</v>
      </c>
    </row>
    <row r="270" spans="1:10" x14ac:dyDescent="0.2">
      <c r="A270" s="1" t="s">
        <v>2009</v>
      </c>
      <c r="B270" s="1">
        <v>1</v>
      </c>
      <c r="C270" s="1">
        <v>4</v>
      </c>
      <c r="D270" s="1" t="s">
        <v>1945</v>
      </c>
      <c r="E270" s="1" t="s">
        <v>1688</v>
      </c>
      <c r="F270" s="1" t="s">
        <v>2496</v>
      </c>
      <c r="G270" s="1" t="s">
        <v>2387</v>
      </c>
      <c r="H270" s="1" t="str">
        <f t="shared" si="16"/>
        <v>MNA</v>
      </c>
      <c r="I270" s="1" t="str">
        <f t="shared" si="17"/>
        <v>Q.N.IT.W1.S1.S1.C.P7._Z._Z._Z.EUR.V.N</v>
      </c>
      <c r="J270" s="4" t="str">
        <f t="shared" si="15"/>
        <v>MNA.Q.N.IT.W1.S1.S1.C.P7._Z._Z._Z.EUR.V.N</v>
      </c>
    </row>
    <row r="271" spans="1:10" x14ac:dyDescent="0.2">
      <c r="A271" s="1" t="s">
        <v>2009</v>
      </c>
      <c r="B271" s="1">
        <v>1</v>
      </c>
      <c r="C271" s="1">
        <v>4</v>
      </c>
      <c r="D271" s="1" t="s">
        <v>1945</v>
      </c>
      <c r="E271" s="1" t="s">
        <v>1688</v>
      </c>
      <c r="F271" s="1" t="s">
        <v>2497</v>
      </c>
      <c r="G271" s="1" t="s">
        <v>1978</v>
      </c>
      <c r="H271" s="1" t="str">
        <f t="shared" si="16"/>
        <v>MNA</v>
      </c>
      <c r="I271" s="1" t="str">
        <f t="shared" si="17"/>
        <v>Q.Y.IT.W1.S1.S1.C.P7._Z._Z._Z.EUR.LR.N</v>
      </c>
      <c r="J271" s="4" t="str">
        <f t="shared" si="15"/>
        <v>MNA.Q.Y.IT.W1.S1.S1.C.P7._Z._Z._Z.EUR.LR.N</v>
      </c>
    </row>
    <row r="272" spans="1:10" x14ac:dyDescent="0.2">
      <c r="A272" s="1" t="s">
        <v>2009</v>
      </c>
      <c r="B272" s="1">
        <v>1</v>
      </c>
      <c r="C272" s="1">
        <v>4</v>
      </c>
      <c r="D272" s="1" t="s">
        <v>1945</v>
      </c>
      <c r="E272" s="1" t="s">
        <v>1688</v>
      </c>
      <c r="F272" s="1" t="s">
        <v>2498</v>
      </c>
      <c r="G272" s="1" t="s">
        <v>1974</v>
      </c>
      <c r="H272" s="1" t="str">
        <f t="shared" si="16"/>
        <v>MNA</v>
      </c>
      <c r="I272" s="1" t="str">
        <f t="shared" si="17"/>
        <v>Q.Y.IT.W1.S1.S1.C.P7._Z._Z._Z.EUR.V.N</v>
      </c>
      <c r="J272" s="4" t="str">
        <f t="shared" si="15"/>
        <v>MNA.Q.Y.IT.W1.S1.S1.C.P7._Z._Z._Z.EUR.V.N</v>
      </c>
    </row>
    <row r="273" spans="1:10" x14ac:dyDescent="0.2">
      <c r="A273" s="1" t="s">
        <v>2009</v>
      </c>
      <c r="B273" s="1">
        <v>1</v>
      </c>
      <c r="C273" s="1">
        <v>4</v>
      </c>
      <c r="D273" s="1" t="s">
        <v>1945</v>
      </c>
      <c r="E273" s="1" t="s">
        <v>1754</v>
      </c>
      <c r="F273" s="1" t="s">
        <v>2500</v>
      </c>
      <c r="G273" s="1" t="s">
        <v>2388</v>
      </c>
      <c r="H273" s="1" t="str">
        <f t="shared" si="16"/>
        <v>MNA</v>
      </c>
      <c r="I273" s="1" t="str">
        <f t="shared" si="17"/>
        <v>Q.N.I9.W1.S1.S1.B.B11._Z._Z._Z.EUR.V.N</v>
      </c>
      <c r="J273" s="4" t="str">
        <f t="shared" si="15"/>
        <v>MNA.Q.N.I9.W1.S1.S1.B.B11._Z._Z._Z.EUR.V.N</v>
      </c>
    </row>
    <row r="274" spans="1:10" x14ac:dyDescent="0.2">
      <c r="A274" s="1" t="s">
        <v>2009</v>
      </c>
      <c r="B274" s="1">
        <v>1</v>
      </c>
      <c r="C274" s="1">
        <v>4</v>
      </c>
      <c r="D274" s="1" t="s">
        <v>1945</v>
      </c>
      <c r="E274" s="1" t="s">
        <v>1754</v>
      </c>
      <c r="F274" s="1" t="s">
        <v>2499</v>
      </c>
      <c r="G274" s="1" t="s">
        <v>2389</v>
      </c>
      <c r="H274" s="1" t="str">
        <f t="shared" si="16"/>
        <v>MNA</v>
      </c>
      <c r="I274" s="1" t="str">
        <f t="shared" si="17"/>
        <v>Q.Y.I9.W1.S1.S1.B.B11._Z._Z._Z.EUR.V.N</v>
      </c>
      <c r="J274" s="4" t="str">
        <f t="shared" si="15"/>
        <v>MNA.Q.Y.I9.W1.S1.S1.B.B11._Z._Z._Z.EUR.V.N</v>
      </c>
    </row>
    <row r="275" spans="1:10" x14ac:dyDescent="0.2">
      <c r="A275" s="1" t="s">
        <v>2009</v>
      </c>
      <c r="B275" s="1">
        <v>1</v>
      </c>
      <c r="C275" s="1">
        <v>3</v>
      </c>
      <c r="D275" s="1" t="s">
        <v>2014</v>
      </c>
      <c r="E275" s="1" t="s">
        <v>2654</v>
      </c>
      <c r="F275" s="1" t="s">
        <v>1953</v>
      </c>
      <c r="G275" s="1" t="s">
        <v>1954</v>
      </c>
      <c r="H275" s="1" t="str">
        <f t="shared" si="16"/>
        <v>FM</v>
      </c>
      <c r="I275" s="1" t="str">
        <f t="shared" ref="I275:I303" si="18">RIGHT(G275,LEN(G275)-FIND(".",G275))</f>
        <v>B.U2.EUR.4F.KR.MRR_FR.LEV</v>
      </c>
      <c r="J275" s="4" t="str">
        <f t="shared" si="15"/>
        <v>FM.B.U2.EUR.4F.KR.MRR_FR.LEV</v>
      </c>
    </row>
    <row r="276" spans="1:10" x14ac:dyDescent="0.2">
      <c r="A276" s="1" t="s">
        <v>2009</v>
      </c>
      <c r="B276" s="1">
        <v>1</v>
      </c>
      <c r="C276" s="1">
        <v>3</v>
      </c>
      <c r="D276" s="1" t="s">
        <v>2014</v>
      </c>
      <c r="E276" s="1" t="s">
        <v>2655</v>
      </c>
      <c r="F276" s="1" t="s">
        <v>1955</v>
      </c>
      <c r="G276" s="1" t="s">
        <v>1956</v>
      </c>
      <c r="H276" s="1" t="str">
        <f t="shared" si="16"/>
        <v>FM</v>
      </c>
      <c r="I276" s="1" t="str">
        <f t="shared" si="18"/>
        <v>B.U2.EUR.4F.KR.DFR.LEV</v>
      </c>
      <c r="J276" s="4" t="str">
        <f t="shared" si="15"/>
        <v>FM.B.U2.EUR.4F.KR.DFR.LEV</v>
      </c>
    </row>
    <row r="277" spans="1:10" x14ac:dyDescent="0.2">
      <c r="A277" s="1" t="s">
        <v>2009</v>
      </c>
      <c r="B277" s="1">
        <v>1</v>
      </c>
      <c r="C277" s="1">
        <v>3</v>
      </c>
      <c r="D277" s="1" t="s">
        <v>2014</v>
      </c>
      <c r="E277" s="1" t="s">
        <v>2656</v>
      </c>
      <c r="F277" s="1" t="s">
        <v>1957</v>
      </c>
      <c r="G277" s="1" t="s">
        <v>1958</v>
      </c>
      <c r="H277" s="1" t="str">
        <f t="shared" si="16"/>
        <v>FM</v>
      </c>
      <c r="I277" s="1" t="str">
        <f t="shared" si="18"/>
        <v>B.U2.EUR.4F.KR.MLFR.LEV</v>
      </c>
      <c r="J277" s="4" t="str">
        <f t="shared" si="15"/>
        <v>FM.B.U2.EUR.4F.KR.MLFR.LEV</v>
      </c>
    </row>
    <row r="278" spans="1:10" x14ac:dyDescent="0.2">
      <c r="A278" s="1" t="s">
        <v>2009</v>
      </c>
      <c r="B278" s="1">
        <v>1</v>
      </c>
      <c r="C278" s="1">
        <v>3</v>
      </c>
      <c r="D278" s="1" t="s">
        <v>2014</v>
      </c>
      <c r="E278" s="1" t="s">
        <v>2649</v>
      </c>
      <c r="F278" s="1" t="s">
        <v>2646</v>
      </c>
      <c r="G278" s="1" t="s">
        <v>1987</v>
      </c>
      <c r="H278" s="1" t="str">
        <f t="shared" si="16"/>
        <v>MIR</v>
      </c>
      <c r="I278" s="1" t="str">
        <f t="shared" si="18"/>
        <v>M.U2.B.A2B.A.R.A.2250.EUR.N</v>
      </c>
      <c r="J278" s="4" t="str">
        <f t="shared" si="15"/>
        <v>MIR.M.U2.B.A2B.A.R.A.2250.EUR.N</v>
      </c>
    </row>
    <row r="279" spans="1:10" x14ac:dyDescent="0.2">
      <c r="A279" s="1" t="s">
        <v>2009</v>
      </c>
      <c r="B279" s="1">
        <v>1</v>
      </c>
      <c r="C279" s="1">
        <v>3</v>
      </c>
      <c r="D279" s="1" t="s">
        <v>2014</v>
      </c>
      <c r="E279" s="1" t="s">
        <v>2648</v>
      </c>
      <c r="F279" s="1" t="s">
        <v>2646</v>
      </c>
      <c r="G279" s="1" t="s">
        <v>1988</v>
      </c>
      <c r="H279" s="1" t="str">
        <f t="shared" si="16"/>
        <v>MIR</v>
      </c>
      <c r="I279" s="1" t="str">
        <f t="shared" si="18"/>
        <v>M.IT.B.A2B.A.R.A.2250.EUR.N</v>
      </c>
      <c r="J279" s="4" t="str">
        <f t="shared" si="15"/>
        <v>MIR.M.IT.B.A2B.A.R.A.2250.EUR.N</v>
      </c>
    </row>
    <row r="280" spans="1:10" x14ac:dyDescent="0.2">
      <c r="A280" s="1" t="s">
        <v>2009</v>
      </c>
      <c r="B280" s="1">
        <v>1</v>
      </c>
      <c r="C280" s="1">
        <v>3</v>
      </c>
      <c r="D280" s="1" t="s">
        <v>2014</v>
      </c>
      <c r="E280" s="1" t="s">
        <v>2641</v>
      </c>
      <c r="F280" s="1" t="s">
        <v>2645</v>
      </c>
      <c r="G280" s="1" t="s">
        <v>1989</v>
      </c>
      <c r="H280" s="1" t="str">
        <f t="shared" si="16"/>
        <v>MIR</v>
      </c>
      <c r="I280" s="1" t="str">
        <f t="shared" si="18"/>
        <v>M.U2.B.A2C.A.R.A.2250.EUR.N</v>
      </c>
      <c r="J280" s="4" t="str">
        <f t="shared" si="15"/>
        <v>MIR.M.U2.B.A2C.A.R.A.2250.EUR.N</v>
      </c>
    </row>
    <row r="281" spans="1:10" x14ac:dyDescent="0.2">
      <c r="A281" s="1" t="s">
        <v>2009</v>
      </c>
      <c r="B281" s="1">
        <v>1</v>
      </c>
      <c r="C281" s="1">
        <v>3</v>
      </c>
      <c r="D281" s="1" t="s">
        <v>2014</v>
      </c>
      <c r="E281" s="1" t="s">
        <v>2639</v>
      </c>
      <c r="F281" s="1" t="s">
        <v>2644</v>
      </c>
      <c r="G281" s="1" t="s">
        <v>1990</v>
      </c>
      <c r="H281" s="1" t="str">
        <f t="shared" si="16"/>
        <v>MIR</v>
      </c>
      <c r="I281" s="1" t="str">
        <f t="shared" si="18"/>
        <v>M.IT.B.A2C.A.R.A.2250.EUR.N</v>
      </c>
      <c r="J281" s="4" t="str">
        <f t="shared" si="15"/>
        <v>MIR.M.IT.B.A2C.A.R.A.2250.EUR.N</v>
      </c>
    </row>
    <row r="282" spans="1:10" x14ac:dyDescent="0.2">
      <c r="A282" s="1" t="s">
        <v>2009</v>
      </c>
      <c r="B282" s="1">
        <v>1</v>
      </c>
      <c r="C282" s="1">
        <v>3</v>
      </c>
      <c r="D282" s="1" t="s">
        <v>2014</v>
      </c>
      <c r="E282" s="1" t="s">
        <v>2642</v>
      </c>
      <c r="F282" s="1" t="s">
        <v>2643</v>
      </c>
      <c r="G282" s="1" t="s">
        <v>1991</v>
      </c>
      <c r="H282" s="1" t="str">
        <f t="shared" si="16"/>
        <v>MIR</v>
      </c>
      <c r="I282" s="1" t="str">
        <f t="shared" si="18"/>
        <v>M.U2.B.A2A.A.R.A.2240.EUR.N</v>
      </c>
      <c r="J282" s="4" t="str">
        <f t="shared" si="15"/>
        <v>MIR.M.U2.B.A2A.A.R.A.2240.EUR.N</v>
      </c>
    </row>
    <row r="283" spans="1:10" x14ac:dyDescent="0.2">
      <c r="A283" s="1" t="s">
        <v>2009</v>
      </c>
      <c r="B283" s="1">
        <v>1</v>
      </c>
      <c r="C283" s="1">
        <v>3</v>
      </c>
      <c r="D283" s="1" t="s">
        <v>2014</v>
      </c>
      <c r="E283" s="1" t="s">
        <v>2647</v>
      </c>
      <c r="F283" s="1" t="s">
        <v>2640</v>
      </c>
      <c r="G283" s="1" t="s">
        <v>1992</v>
      </c>
      <c r="H283" s="1" t="str">
        <f t="shared" si="16"/>
        <v>MIR</v>
      </c>
      <c r="I283" s="1" t="str">
        <f t="shared" si="18"/>
        <v>M.IT.B.A2A.A.R.A.2240.EUR.N</v>
      </c>
      <c r="J283" s="4" t="str">
        <f t="shared" si="15"/>
        <v>MIR.M.IT.B.A2A.A.R.A.2240.EUR.N</v>
      </c>
    </row>
    <row r="284" spans="1:10" x14ac:dyDescent="0.2">
      <c r="A284" s="1" t="s">
        <v>2009</v>
      </c>
      <c r="B284" s="1">
        <v>1</v>
      </c>
      <c r="C284" s="1">
        <v>3</v>
      </c>
      <c r="D284" s="1" t="s">
        <v>2014</v>
      </c>
      <c r="E284" s="1" t="s">
        <v>2650</v>
      </c>
      <c r="F284" s="1" t="s">
        <v>1993</v>
      </c>
      <c r="G284" s="1" t="s">
        <v>1994</v>
      </c>
      <c r="H284" s="1" t="str">
        <f t="shared" si="16"/>
        <v>MIR</v>
      </c>
      <c r="I284" s="1" t="str">
        <f t="shared" si="18"/>
        <v>M.U2.B.L21.A.R.A.2240.EUR.N</v>
      </c>
      <c r="J284" s="4" t="str">
        <f t="shared" si="15"/>
        <v>MIR.M.U2.B.L21.A.R.A.2240.EUR.N</v>
      </c>
    </row>
    <row r="285" spans="1:10" x14ac:dyDescent="0.2">
      <c r="A285" s="1" t="s">
        <v>2009</v>
      </c>
      <c r="B285" s="1">
        <v>1</v>
      </c>
      <c r="C285" s="1">
        <v>3</v>
      </c>
      <c r="D285" s="1" t="s">
        <v>2014</v>
      </c>
      <c r="E285" s="1" t="s">
        <v>2651</v>
      </c>
      <c r="F285" s="1" t="s">
        <v>1995</v>
      </c>
      <c r="G285" s="1" t="s">
        <v>1996</v>
      </c>
      <c r="H285" s="1" t="str">
        <f t="shared" si="16"/>
        <v>MIR</v>
      </c>
      <c r="I285" s="1" t="str">
        <f t="shared" si="18"/>
        <v>M.U2.B.L21.A.R.A.2250.EUR.N</v>
      </c>
      <c r="J285" s="4" t="str">
        <f t="shared" si="15"/>
        <v>MIR.M.U2.B.L21.A.R.A.2250.EUR.N</v>
      </c>
    </row>
    <row r="286" spans="1:10" x14ac:dyDescent="0.2">
      <c r="A286" s="1" t="s">
        <v>2009</v>
      </c>
      <c r="B286" s="1">
        <v>1</v>
      </c>
      <c r="C286" s="1">
        <v>3</v>
      </c>
      <c r="D286" s="1" t="s">
        <v>2014</v>
      </c>
      <c r="E286" s="1" t="s">
        <v>2652</v>
      </c>
      <c r="F286" s="1" t="s">
        <v>1997</v>
      </c>
      <c r="G286" s="1" t="s">
        <v>1998</v>
      </c>
      <c r="H286" s="1" t="str">
        <f t="shared" si="16"/>
        <v>MIR</v>
      </c>
      <c r="I286" s="1" t="str">
        <f t="shared" si="18"/>
        <v>M.U2.B.L22.A.R.A.2240.EUR.N</v>
      </c>
      <c r="J286" s="4" t="str">
        <f t="shared" si="15"/>
        <v>MIR.M.U2.B.L22.A.R.A.2240.EUR.N</v>
      </c>
    </row>
    <row r="287" spans="1:10" x14ac:dyDescent="0.2">
      <c r="A287" s="1" t="s">
        <v>2009</v>
      </c>
      <c r="B287" s="1">
        <v>1</v>
      </c>
      <c r="C287" s="1">
        <v>3</v>
      </c>
      <c r="D287" s="1" t="s">
        <v>2014</v>
      </c>
      <c r="E287" s="1" t="s">
        <v>2653</v>
      </c>
      <c r="F287" s="1" t="s">
        <v>1999</v>
      </c>
      <c r="G287" s="1" t="s">
        <v>2000</v>
      </c>
      <c r="H287" s="1" t="str">
        <f t="shared" si="16"/>
        <v>MIR</v>
      </c>
      <c r="I287" s="1" t="str">
        <f t="shared" si="18"/>
        <v>M.U2.B.L22.A.R.A.2250.EUR.N</v>
      </c>
      <c r="J287" s="4" t="str">
        <f t="shared" si="15"/>
        <v>MIR.M.U2.B.L22.A.R.A.2250.EUR.N</v>
      </c>
    </row>
    <row r="288" spans="1:10" x14ac:dyDescent="0.2">
      <c r="A288" s="1" t="s">
        <v>2009</v>
      </c>
      <c r="B288" s="1">
        <v>1</v>
      </c>
      <c r="C288" s="1">
        <v>0</v>
      </c>
      <c r="D288" s="1" t="s">
        <v>102</v>
      </c>
      <c r="E288" s="1" t="s">
        <v>2523</v>
      </c>
      <c r="F288" s="1" t="s">
        <v>2007</v>
      </c>
      <c r="G288" s="1" t="s">
        <v>2008</v>
      </c>
      <c r="H288" s="1" t="str">
        <f t="shared" si="16"/>
        <v>MNA</v>
      </c>
      <c r="I288" s="1" t="str">
        <f t="shared" si="18"/>
        <v>Q.Y.IT.W2.S1.S1.D.D11._Z._T._Z.XDC.V.N</v>
      </c>
      <c r="J288" s="4" t="str">
        <f t="shared" si="15"/>
        <v>MNA.Q.Y.IT.W2.S1.S1.D.D11._Z._T._Z.XDC.V.N</v>
      </c>
    </row>
    <row r="289" spans="1:10" x14ac:dyDescent="0.2">
      <c r="A289" s="1" t="s">
        <v>2009</v>
      </c>
      <c r="B289" s="1">
        <v>1</v>
      </c>
      <c r="C289" s="1">
        <v>1</v>
      </c>
      <c r="D289" s="1" t="s">
        <v>2015</v>
      </c>
      <c r="E289" s="1" t="s">
        <v>2658</v>
      </c>
      <c r="F289" s="1" t="s">
        <v>1962</v>
      </c>
      <c r="G289" s="1" t="s">
        <v>1963</v>
      </c>
      <c r="H289" s="1" t="str">
        <f t="shared" si="16"/>
        <v>EXR</v>
      </c>
      <c r="I289" s="1" t="str">
        <f t="shared" si="18"/>
        <v>M.USD.EUR.SP00.A</v>
      </c>
      <c r="J289" s="4" t="str">
        <f t="shared" si="15"/>
        <v>EXR.M.USD.EUR.SP00.A</v>
      </c>
    </row>
    <row r="290" spans="1:10" x14ac:dyDescent="0.2">
      <c r="A290" s="1" t="s">
        <v>2009</v>
      </c>
      <c r="B290" s="1">
        <v>1</v>
      </c>
      <c r="C290" s="1">
        <v>1</v>
      </c>
      <c r="D290" s="1" t="s">
        <v>2015</v>
      </c>
      <c r="E290" s="1" t="s">
        <v>2657</v>
      </c>
      <c r="F290" s="1" t="s">
        <v>1964</v>
      </c>
      <c r="G290" s="1" t="s">
        <v>1965</v>
      </c>
      <c r="H290" s="1" t="str">
        <f t="shared" si="16"/>
        <v>EXR</v>
      </c>
      <c r="I290" s="1" t="str">
        <f t="shared" si="18"/>
        <v>M.GBP.EUR.SP00.A</v>
      </c>
      <c r="J290" s="4" t="str">
        <f t="shared" si="15"/>
        <v>EXR.M.GBP.EUR.SP00.A</v>
      </c>
    </row>
    <row r="291" spans="1:10" x14ac:dyDescent="0.2">
      <c r="A291" s="1" t="s">
        <v>2009</v>
      </c>
      <c r="B291" s="1">
        <v>1</v>
      </c>
      <c r="C291" s="1">
        <v>4</v>
      </c>
      <c r="D291" s="1" t="s">
        <v>1945</v>
      </c>
      <c r="E291" s="1" t="s">
        <v>2522</v>
      </c>
      <c r="F291" s="1" t="s">
        <v>2535</v>
      </c>
      <c r="G291" s="1" t="s">
        <v>1966</v>
      </c>
      <c r="H291" s="1" t="str">
        <f t="shared" si="16"/>
        <v>MNA</v>
      </c>
      <c r="I291" s="1" t="str">
        <f t="shared" si="18"/>
        <v>Q.Y.IT.W2.S1.S1.B.B1GQ._Z._Z._Z.IX.D.N</v>
      </c>
      <c r="J291" s="4" t="str">
        <f t="shared" si="15"/>
        <v>MNA.Q.Y.IT.W2.S1.S1.B.B1GQ._Z._Z._Z.IX.D.N</v>
      </c>
    </row>
    <row r="292" spans="1:10" x14ac:dyDescent="0.2">
      <c r="A292" s="1" t="s">
        <v>2009</v>
      </c>
      <c r="B292" s="1">
        <v>1</v>
      </c>
      <c r="C292" s="1">
        <v>4</v>
      </c>
      <c r="D292" s="1" t="s">
        <v>1945</v>
      </c>
      <c r="E292" s="1" t="s">
        <v>2513</v>
      </c>
      <c r="F292" s="1" t="s">
        <v>2534</v>
      </c>
      <c r="G292" s="1" t="s">
        <v>1967</v>
      </c>
      <c r="H292" s="1" t="str">
        <f t="shared" si="16"/>
        <v>MNA</v>
      </c>
      <c r="I292" s="1" t="str">
        <f t="shared" si="18"/>
        <v>Q.N.IT.W2.S1.S1.B.B1GQ._Z._Z._Z.IX.D.N</v>
      </c>
      <c r="J292" s="4" t="str">
        <f t="shared" si="15"/>
        <v>MNA.Q.N.IT.W2.S1.S1.B.B1GQ._Z._Z._Z.IX.D.N</v>
      </c>
    </row>
    <row r="293" spans="1:10" x14ac:dyDescent="0.2">
      <c r="A293" s="1" t="s">
        <v>2009</v>
      </c>
      <c r="B293" s="1">
        <v>1</v>
      </c>
      <c r="C293" s="1">
        <v>4</v>
      </c>
      <c r="D293" s="1" t="s">
        <v>1945</v>
      </c>
      <c r="E293" s="1" t="s">
        <v>2514</v>
      </c>
      <c r="F293" s="1" t="s">
        <v>2533</v>
      </c>
      <c r="G293" s="1" t="s">
        <v>1986</v>
      </c>
      <c r="H293" s="1" t="str">
        <f t="shared" si="16"/>
        <v>BSI</v>
      </c>
      <c r="I293" s="1" t="str">
        <f t="shared" si="18"/>
        <v>M.U2.Y.V.M30.X.1.U2.2300.Z01.E</v>
      </c>
      <c r="J293" s="4" t="str">
        <f t="shared" si="15"/>
        <v>BSI.M.U2.Y.V.M30.X.1.U2.2300.Z01.E</v>
      </c>
    </row>
    <row r="294" spans="1:10" x14ac:dyDescent="0.2">
      <c r="A294" s="1" t="s">
        <v>2009</v>
      </c>
      <c r="B294" s="1">
        <v>1</v>
      </c>
      <c r="C294" s="1">
        <v>4</v>
      </c>
      <c r="D294" s="1" t="s">
        <v>1945</v>
      </c>
      <c r="E294" s="1" t="s">
        <v>2512</v>
      </c>
      <c r="F294" s="1" t="s">
        <v>2532</v>
      </c>
      <c r="G294" s="1" t="s">
        <v>2001</v>
      </c>
      <c r="H294" s="1" t="str">
        <f t="shared" si="16"/>
        <v>BSI</v>
      </c>
      <c r="I294" s="1" t="str">
        <f t="shared" si="18"/>
        <v>M.U2.N.A.A20.A.1.U2.2240.Z01.E</v>
      </c>
      <c r="J294" s="4" t="str">
        <f t="shared" si="15"/>
        <v>BSI.M.U2.N.A.A20.A.1.U2.2240.Z01.E</v>
      </c>
    </row>
    <row r="295" spans="1:10" x14ac:dyDescent="0.2">
      <c r="A295" s="1" t="s">
        <v>2009</v>
      </c>
      <c r="B295" s="1">
        <v>1</v>
      </c>
      <c r="C295" s="1">
        <v>4</v>
      </c>
      <c r="D295" s="1" t="s">
        <v>1945</v>
      </c>
      <c r="E295" s="1" t="s">
        <v>2511</v>
      </c>
      <c r="F295" s="1" t="s">
        <v>2510</v>
      </c>
      <c r="G295" s="1" t="s">
        <v>2002</v>
      </c>
      <c r="H295" s="1" t="str">
        <f t="shared" si="16"/>
        <v>BSI</v>
      </c>
      <c r="I295" s="1" t="str">
        <f t="shared" si="18"/>
        <v>M.IT.N.A.A20.A.1.U2.2240.Z01.E</v>
      </c>
      <c r="J295" s="4" t="str">
        <f t="shared" si="15"/>
        <v>BSI.M.IT.N.A.A20.A.1.U2.2240.Z01.E</v>
      </c>
    </row>
    <row r="296" spans="1:10" x14ac:dyDescent="0.2">
      <c r="A296" s="1" t="s">
        <v>2009</v>
      </c>
      <c r="B296" s="1">
        <v>1</v>
      </c>
      <c r="C296" s="1">
        <v>4</v>
      </c>
      <c r="D296" s="1" t="s">
        <v>1945</v>
      </c>
      <c r="E296" s="1" t="s">
        <v>2515</v>
      </c>
      <c r="F296" s="1" t="s">
        <v>2531</v>
      </c>
      <c r="G296" s="1" t="s">
        <v>1982</v>
      </c>
      <c r="H296" s="1" t="str">
        <f t="shared" si="16"/>
        <v>STS</v>
      </c>
      <c r="I296" s="1" t="str">
        <f t="shared" si="18"/>
        <v>M.I9.Y.PROD.NS0020.4.000</v>
      </c>
      <c r="J296" s="4" t="str">
        <f t="shared" si="15"/>
        <v>STS.M.I9.Y.PROD.NS0020.4.000</v>
      </c>
    </row>
    <row r="297" spans="1:10" x14ac:dyDescent="0.2">
      <c r="A297" s="1" t="s">
        <v>2009</v>
      </c>
      <c r="B297" s="1">
        <v>1</v>
      </c>
      <c r="C297" s="1">
        <v>4</v>
      </c>
      <c r="D297" s="1" t="s">
        <v>1945</v>
      </c>
      <c r="E297" s="1" t="s">
        <v>2516</v>
      </c>
      <c r="F297" s="1" t="s">
        <v>2530</v>
      </c>
      <c r="G297" s="1" t="s">
        <v>1983</v>
      </c>
      <c r="H297" s="1" t="str">
        <f t="shared" si="16"/>
        <v>STS</v>
      </c>
      <c r="I297" s="1" t="str">
        <f t="shared" si="18"/>
        <v>M.I9.Y.PROD.NS0010.4.000</v>
      </c>
      <c r="J297" s="4" t="str">
        <f t="shared" si="15"/>
        <v>STS.M.I9.Y.PROD.NS0010.4.000</v>
      </c>
    </row>
    <row r="298" spans="1:10" x14ac:dyDescent="0.2">
      <c r="A298" s="1" t="s">
        <v>2009</v>
      </c>
      <c r="B298" s="1">
        <v>1</v>
      </c>
      <c r="C298" s="1">
        <v>4</v>
      </c>
      <c r="D298" s="1" t="s">
        <v>1945</v>
      </c>
      <c r="E298" s="1" t="s">
        <v>2517</v>
      </c>
      <c r="F298" s="1" t="s">
        <v>2529</v>
      </c>
      <c r="G298" s="1" t="s">
        <v>1984</v>
      </c>
      <c r="H298" s="1" t="str">
        <f t="shared" si="16"/>
        <v>STS</v>
      </c>
      <c r="I298" s="1" t="str">
        <f t="shared" si="18"/>
        <v>M.I9.W.TOVV.2G4700.4.000</v>
      </c>
      <c r="J298" s="4" t="str">
        <f t="shared" si="15"/>
        <v>STS.M.I9.W.TOVV.2G4700.4.000</v>
      </c>
    </row>
    <row r="299" spans="1:10" x14ac:dyDescent="0.2">
      <c r="A299" s="1" t="s">
        <v>2009</v>
      </c>
      <c r="B299" s="1">
        <v>1</v>
      </c>
      <c r="C299" s="1">
        <v>4</v>
      </c>
      <c r="D299" s="1" t="s">
        <v>1945</v>
      </c>
      <c r="E299" s="1" t="s">
        <v>2518</v>
      </c>
      <c r="F299" s="1" t="s">
        <v>2528</v>
      </c>
      <c r="G299" s="1" t="s">
        <v>1985</v>
      </c>
      <c r="H299" s="1" t="str">
        <f t="shared" si="16"/>
        <v>STS</v>
      </c>
      <c r="I299" s="1" t="str">
        <f t="shared" si="18"/>
        <v>M.I9.W.TOVV.2G4730.4.000</v>
      </c>
      <c r="J299" s="4" t="str">
        <f t="shared" ref="J299:J307" si="19">+HYPERLINK("https://data.ecb.europa.eu/data/datasets/"&amp;H299&amp;"/"&amp;G299,G299)</f>
        <v>STS.M.I9.W.TOVV.2G4730.4.000</v>
      </c>
    </row>
    <row r="300" spans="1:10" x14ac:dyDescent="0.2">
      <c r="A300" s="1" t="s">
        <v>2009</v>
      </c>
      <c r="B300" s="1">
        <v>1</v>
      </c>
      <c r="C300" s="1">
        <v>4</v>
      </c>
      <c r="D300" s="1" t="s">
        <v>1945</v>
      </c>
      <c r="E300" s="1" t="s">
        <v>2519</v>
      </c>
      <c r="F300" s="1" t="s">
        <v>2527</v>
      </c>
      <c r="G300" s="1" t="s">
        <v>2003</v>
      </c>
      <c r="H300" s="1" t="str">
        <f t="shared" si="16"/>
        <v>BPS</v>
      </c>
      <c r="I300" s="1" t="str">
        <f t="shared" si="18"/>
        <v>Q.N.IT.W1.S1.S1.T.B.CA._Z._Z._Z.EUR._T._X.N.ALL</v>
      </c>
      <c r="J300" s="4" t="str">
        <f t="shared" si="19"/>
        <v>BPS.Q.N.IT.W1.S1.S1.T.B.CA._Z._Z._Z.EUR._T._X.N.ALL</v>
      </c>
    </row>
    <row r="301" spans="1:10" x14ac:dyDescent="0.2">
      <c r="A301" s="1" t="s">
        <v>2009</v>
      </c>
      <c r="B301" s="1">
        <v>1</v>
      </c>
      <c r="C301" s="1">
        <v>4</v>
      </c>
      <c r="D301" s="1" t="s">
        <v>1945</v>
      </c>
      <c r="E301" s="1" t="s">
        <v>2520</v>
      </c>
      <c r="F301" s="1" t="s">
        <v>2526</v>
      </c>
      <c r="G301" s="1" t="s">
        <v>2004</v>
      </c>
      <c r="H301" s="1" t="str">
        <f t="shared" si="16"/>
        <v>BPS</v>
      </c>
      <c r="I301" s="1" t="str">
        <f t="shared" si="18"/>
        <v>Q.N.IT.W1.S1.S1.T.B.KA._Z._Z._Z.EUR._T._X.N.ALL</v>
      </c>
      <c r="J301" s="4" t="str">
        <f t="shared" si="19"/>
        <v>BPS.Q.N.IT.W1.S1.S1.T.B.KA._Z._Z._Z.EUR._T._X.N.ALL</v>
      </c>
    </row>
    <row r="302" spans="1:10" x14ac:dyDescent="0.2">
      <c r="A302" s="1" t="s">
        <v>2009</v>
      </c>
      <c r="B302" s="1">
        <v>1</v>
      </c>
      <c r="C302" s="1">
        <v>4</v>
      </c>
      <c r="D302" s="1" t="s">
        <v>1945</v>
      </c>
      <c r="E302" s="1" t="s">
        <v>2521</v>
      </c>
      <c r="F302" s="1" t="s">
        <v>2525</v>
      </c>
      <c r="G302" s="1" t="s">
        <v>2005</v>
      </c>
      <c r="H302" s="1" t="str">
        <f t="shared" si="16"/>
        <v>BPS</v>
      </c>
      <c r="I302" s="1" t="str">
        <f t="shared" si="18"/>
        <v>Q.N.IT.W1.S1.S1.T.N.FA._T.F._Z.EUR._T._X.N.ALL</v>
      </c>
      <c r="J302" s="4" t="str">
        <f t="shared" si="19"/>
        <v>BPS.Q.N.IT.W1.S1.S1.T.N.FA._T.F._Z.EUR._T._X.N.ALL</v>
      </c>
    </row>
    <row r="303" spans="1:10" x14ac:dyDescent="0.2">
      <c r="A303" s="1" t="s">
        <v>2009</v>
      </c>
      <c r="B303" s="1">
        <v>1</v>
      </c>
      <c r="C303" s="1">
        <v>4</v>
      </c>
      <c r="D303" s="1" t="s">
        <v>1945</v>
      </c>
      <c r="E303" s="1" t="s">
        <v>2509</v>
      </c>
      <c r="F303" s="1" t="s">
        <v>2524</v>
      </c>
      <c r="G303" s="1" t="s">
        <v>2006</v>
      </c>
      <c r="H303" s="1" t="str">
        <f t="shared" si="16"/>
        <v>BPS</v>
      </c>
      <c r="I303" s="1" t="str">
        <f t="shared" si="18"/>
        <v>Q.N.IT.W1.S121.S1.LE.A.FA.R.F._Z.EUR.X1._X.N.ALL</v>
      </c>
      <c r="J303" s="4" t="str">
        <f t="shared" si="19"/>
        <v>BPS.Q.N.IT.W1.S121.S1.LE.A.FA.R.F._Z.EUR.X1._X.N.ALL</v>
      </c>
    </row>
    <row r="304" spans="1:10" x14ac:dyDescent="0.2">
      <c r="A304" s="1" t="s">
        <v>2009</v>
      </c>
      <c r="B304" s="1">
        <v>1</v>
      </c>
      <c r="C304" s="1">
        <v>0</v>
      </c>
      <c r="D304" s="1" t="s">
        <v>102</v>
      </c>
      <c r="E304" s="1" t="s">
        <v>1742</v>
      </c>
      <c r="F304" s="1" t="s">
        <v>2505</v>
      </c>
      <c r="G304" s="1" t="s">
        <v>2501</v>
      </c>
      <c r="H304" s="1" t="str">
        <f t="shared" si="16"/>
        <v>MNA</v>
      </c>
      <c r="I304" s="1" t="str">
        <f t="shared" ref="I304:I306" si="20">RIGHT(G304,LEN(G304)-FIND(".",G304))</f>
        <v>A.N.B6.W2.S1.S1.D.D1._Z._T._Z.EUR.V.N</v>
      </c>
      <c r="J304" s="4" t="str">
        <f t="shared" si="19"/>
        <v>MNA.A.N.B6.W2.S1.S1.D.D1._Z._T._Z.EUR.V.N</v>
      </c>
    </row>
    <row r="305" spans="1:10" x14ac:dyDescent="0.2">
      <c r="A305" s="1" t="s">
        <v>2009</v>
      </c>
      <c r="B305" s="1">
        <v>1</v>
      </c>
      <c r="C305" s="1">
        <v>0</v>
      </c>
      <c r="D305" s="1" t="s">
        <v>102</v>
      </c>
      <c r="E305" s="1" t="s">
        <v>1742</v>
      </c>
      <c r="F305" s="1" t="s">
        <v>2506</v>
      </c>
      <c r="G305" s="1" t="s">
        <v>1981</v>
      </c>
      <c r="H305" s="1" t="str">
        <f t="shared" si="16"/>
        <v>MNA</v>
      </c>
      <c r="I305" s="1" t="str">
        <f t="shared" si="20"/>
        <v>A.N.IT.W2.S1.S1.D.D1._Z._T._Z.EUR.V.N</v>
      </c>
      <c r="J305" s="4" t="str">
        <f t="shared" si="19"/>
        <v>MNA.A.N.IT.W2.S1.S1.D.D1._Z._T._Z.EUR.V.N</v>
      </c>
    </row>
    <row r="306" spans="1:10" x14ac:dyDescent="0.2">
      <c r="A306" s="1" t="s">
        <v>2009</v>
      </c>
      <c r="B306" s="1">
        <v>1</v>
      </c>
      <c r="C306" s="1">
        <v>0</v>
      </c>
      <c r="D306" s="1" t="s">
        <v>102</v>
      </c>
      <c r="E306" s="1" t="s">
        <v>2502</v>
      </c>
      <c r="F306" s="1" t="s">
        <v>2508</v>
      </c>
      <c r="G306" s="1" t="s">
        <v>2503</v>
      </c>
      <c r="H306" s="1" t="str">
        <f t="shared" si="16"/>
        <v>MNA</v>
      </c>
      <c r="I306" s="1" t="str">
        <f t="shared" si="20"/>
        <v>Q.Y.B6.W2.S1.S1._Z.COM_PS._Z._T._Z.IX.V.N</v>
      </c>
      <c r="J306" s="4" t="str">
        <f t="shared" si="19"/>
        <v>MNA.Q.Y.B6.W2.S1.S1._Z.COM_PS._Z._T._Z.IX.V.N</v>
      </c>
    </row>
    <row r="307" spans="1:10" x14ac:dyDescent="0.2">
      <c r="A307" s="1" t="s">
        <v>2009</v>
      </c>
      <c r="B307" s="1">
        <v>1</v>
      </c>
      <c r="C307" s="1">
        <v>0</v>
      </c>
      <c r="D307" s="1" t="s">
        <v>102</v>
      </c>
      <c r="E307" s="1" t="s">
        <v>2502</v>
      </c>
      <c r="F307" s="1" t="s">
        <v>2507</v>
      </c>
      <c r="G307" s="1" t="s">
        <v>2504</v>
      </c>
      <c r="H307" s="1" t="str">
        <f t="shared" si="16"/>
        <v>MNA</v>
      </c>
      <c r="I307" s="1" t="str">
        <f t="shared" ref="I307" si="21">RIGHT(G307,LEN(G307)-FIND(".",G307))</f>
        <v>Q.Y.IT.W2.S1.S1._Z.COM_PS._Z._T._Z.IX.V.N</v>
      </c>
      <c r="J307" s="4" t="str">
        <f t="shared" si="19"/>
        <v>MNA.Q.Y.IT.W2.S1.S1._Z.COM_PS._Z._T._Z.IX.V.N</v>
      </c>
    </row>
  </sheetData>
  <autoFilter ref="A1:J307" xr:uid="{5E10CEB6-3C00-436A-A5DE-5F00553300AC}"/>
  <sortState xmlns:xlrd2="http://schemas.microsoft.com/office/spreadsheetml/2017/richdata2" ref="A83:I93">
    <sortCondition ref="G83:G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2219-2A67-4A2F-BEF5-3BA4417AC646}">
  <sheetPr codeName="Foglio3"/>
  <dimension ref="A1:J352"/>
  <sheetViews>
    <sheetView zoomScale="85" zoomScaleNormal="85" workbookViewId="0">
      <selection activeCell="E6" sqref="E6"/>
    </sheetView>
  </sheetViews>
  <sheetFormatPr defaultColWidth="11" defaultRowHeight="15" x14ac:dyDescent="0.25"/>
  <cols>
    <col min="1" max="1" width="12.85546875" style="1" bestFit="1" customWidth="1"/>
    <col min="2" max="2" width="11.140625" style="1" bestFit="1" customWidth="1"/>
    <col min="3" max="3" width="10.42578125" style="1" bestFit="1" customWidth="1"/>
    <col min="4" max="5" width="20" style="1" bestFit="1" customWidth="1"/>
    <col min="6" max="6" width="28.7109375" style="1" bestFit="1" customWidth="1"/>
    <col min="7" max="7" width="15.5703125" style="1" bestFit="1" customWidth="1"/>
    <col min="8" max="8" width="25.140625" style="1" bestFit="1" customWidth="1"/>
    <col min="9" max="9" width="137.5703125" style="1" bestFit="1" customWidth="1"/>
    <col min="11" max="16384" width="11" style="1"/>
  </cols>
  <sheetData>
    <row r="1" spans="1:10" s="2" customFormat="1" ht="12.75" x14ac:dyDescent="0.2">
      <c r="A1" s="2" t="s">
        <v>0</v>
      </c>
      <c r="B1" s="2" t="s">
        <v>1</v>
      </c>
      <c r="C1" s="2" t="s">
        <v>2013</v>
      </c>
      <c r="D1" s="2" t="s">
        <v>2010</v>
      </c>
      <c r="E1" s="2" t="s">
        <v>2011</v>
      </c>
      <c r="F1" s="2" t="s">
        <v>2</v>
      </c>
      <c r="G1" s="2" t="s">
        <v>3</v>
      </c>
      <c r="H1" s="2" t="s">
        <v>4</v>
      </c>
      <c r="I1" s="2" t="s">
        <v>5</v>
      </c>
    </row>
    <row r="2" spans="1:10" ht="12.75" x14ac:dyDescent="0.2">
      <c r="A2" s="1" t="s">
        <v>6</v>
      </c>
      <c r="B2" s="1" t="s">
        <v>7</v>
      </c>
      <c r="C2" s="1">
        <v>1</v>
      </c>
      <c r="D2" s="1" t="str">
        <f>E2</f>
        <v>BCCICP02ITM460S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/>
    </row>
    <row r="3" spans="1:10" ht="12.75" x14ac:dyDescent="0.2">
      <c r="A3" s="1" t="s">
        <v>6</v>
      </c>
      <c r="B3" s="1" t="s">
        <v>7</v>
      </c>
      <c r="C3" s="1">
        <v>1</v>
      </c>
      <c r="D3" s="1" t="str">
        <f t="shared" ref="D3:D66" si="0">E3</f>
        <v>BCEMFT02ITM460S</v>
      </c>
      <c r="E3" s="1" t="s">
        <v>13</v>
      </c>
      <c r="F3" s="1" t="s">
        <v>9</v>
      </c>
      <c r="G3" s="1" t="s">
        <v>10</v>
      </c>
      <c r="H3" s="1" t="s">
        <v>11</v>
      </c>
      <c r="I3" s="1" t="s">
        <v>14</v>
      </c>
      <c r="J3" s="1"/>
    </row>
    <row r="4" spans="1:10" ht="12.75" x14ac:dyDescent="0.2">
      <c r="A4" s="1" t="s">
        <v>6</v>
      </c>
      <c r="B4" s="1" t="s">
        <v>7</v>
      </c>
      <c r="C4" s="1">
        <v>1</v>
      </c>
      <c r="D4" s="1" t="str">
        <f t="shared" si="0"/>
        <v>BCOBLV02ITM460S</v>
      </c>
      <c r="E4" s="1" t="s">
        <v>15</v>
      </c>
      <c r="F4" s="1" t="s">
        <v>9</v>
      </c>
      <c r="G4" s="1" t="s">
        <v>10</v>
      </c>
      <c r="H4" s="1" t="s">
        <v>11</v>
      </c>
      <c r="I4" s="1" t="s">
        <v>16</v>
      </c>
      <c r="J4" s="1"/>
    </row>
    <row r="5" spans="1:10" ht="12.75" x14ac:dyDescent="0.2">
      <c r="A5" s="1" t="s">
        <v>6</v>
      </c>
      <c r="B5" s="1" t="s">
        <v>7</v>
      </c>
      <c r="C5" s="1">
        <v>1</v>
      </c>
      <c r="D5" s="1" t="str">
        <f t="shared" si="0"/>
        <v>BCSPFT02ITM460S</v>
      </c>
      <c r="E5" s="1" t="s">
        <v>17</v>
      </c>
      <c r="F5" s="1" t="s">
        <v>9</v>
      </c>
      <c r="G5" s="1" t="s">
        <v>10</v>
      </c>
      <c r="H5" s="1" t="s">
        <v>11</v>
      </c>
      <c r="I5" s="1" t="s">
        <v>18</v>
      </c>
      <c r="J5" s="1"/>
    </row>
    <row r="6" spans="1:10" ht="12.75" x14ac:dyDescent="0.2">
      <c r="A6" s="1" t="s">
        <v>6</v>
      </c>
      <c r="B6" s="1" t="s">
        <v>7</v>
      </c>
      <c r="C6" s="1">
        <v>1</v>
      </c>
      <c r="D6" s="1" t="str">
        <f t="shared" si="0"/>
        <v>BSCICP02ITM460S</v>
      </c>
      <c r="E6" s="1" t="s">
        <v>19</v>
      </c>
      <c r="F6" s="1" t="s">
        <v>9</v>
      </c>
      <c r="G6" s="1" t="s">
        <v>10</v>
      </c>
      <c r="H6" s="1" t="s">
        <v>11</v>
      </c>
      <c r="I6" s="1" t="s">
        <v>20</v>
      </c>
      <c r="J6" s="1"/>
    </row>
    <row r="7" spans="1:10" ht="12.75" x14ac:dyDescent="0.2">
      <c r="A7" s="1" t="s">
        <v>6</v>
      </c>
      <c r="B7" s="1" t="s">
        <v>7</v>
      </c>
      <c r="C7" s="1">
        <v>1</v>
      </c>
      <c r="D7" s="1" t="str">
        <f t="shared" si="0"/>
        <v>BSEMFT02ITM460S</v>
      </c>
      <c r="E7" s="1" t="s">
        <v>21</v>
      </c>
      <c r="F7" s="1" t="s">
        <v>9</v>
      </c>
      <c r="G7" s="1" t="s">
        <v>10</v>
      </c>
      <c r="H7" s="1" t="s">
        <v>11</v>
      </c>
      <c r="I7" s="1" t="s">
        <v>22</v>
      </c>
      <c r="J7" s="1"/>
    </row>
    <row r="8" spans="1:10" ht="12.75" x14ac:dyDescent="0.2">
      <c r="A8" s="1" t="s">
        <v>6</v>
      </c>
      <c r="B8" s="1" t="s">
        <v>7</v>
      </c>
      <c r="C8" s="1">
        <v>1</v>
      </c>
      <c r="D8" s="1" t="str">
        <f t="shared" si="0"/>
        <v>BSFGLV02ITM460S</v>
      </c>
      <c r="E8" s="1" t="s">
        <v>23</v>
      </c>
      <c r="F8" s="1" t="s">
        <v>9</v>
      </c>
      <c r="G8" s="1" t="s">
        <v>10</v>
      </c>
      <c r="H8" s="1" t="s">
        <v>11</v>
      </c>
      <c r="I8" s="1" t="s">
        <v>24</v>
      </c>
      <c r="J8" s="1"/>
    </row>
    <row r="9" spans="1:10" ht="12.75" x14ac:dyDescent="0.2">
      <c r="A9" s="1" t="s">
        <v>6</v>
      </c>
      <c r="B9" s="1" t="s">
        <v>7</v>
      </c>
      <c r="C9" s="1">
        <v>1</v>
      </c>
      <c r="D9" s="1" t="str">
        <f t="shared" si="0"/>
        <v>BSOBLV02ITM460S</v>
      </c>
      <c r="E9" s="1" t="s">
        <v>25</v>
      </c>
      <c r="F9" s="1" t="s">
        <v>9</v>
      </c>
      <c r="G9" s="1" t="s">
        <v>10</v>
      </c>
      <c r="H9" s="1" t="s">
        <v>11</v>
      </c>
      <c r="I9" s="1" t="s">
        <v>26</v>
      </c>
      <c r="J9" s="1"/>
    </row>
    <row r="10" spans="1:10" ht="12.75" x14ac:dyDescent="0.2">
      <c r="A10" s="1" t="s">
        <v>6</v>
      </c>
      <c r="B10" s="1" t="s">
        <v>7</v>
      </c>
      <c r="C10" s="1">
        <v>1</v>
      </c>
      <c r="D10" s="1" t="str">
        <f t="shared" si="0"/>
        <v>BSPRFT02ITM460S</v>
      </c>
      <c r="E10" s="1" t="s">
        <v>27</v>
      </c>
      <c r="F10" s="1" t="s">
        <v>9</v>
      </c>
      <c r="G10" s="1" t="s">
        <v>10</v>
      </c>
      <c r="H10" s="1" t="s">
        <v>11</v>
      </c>
      <c r="I10" s="1" t="s">
        <v>28</v>
      </c>
      <c r="J10" s="1"/>
    </row>
    <row r="11" spans="1:10" ht="12.75" x14ac:dyDescent="0.2">
      <c r="A11" s="1" t="s">
        <v>6</v>
      </c>
      <c r="B11" s="1" t="s">
        <v>7</v>
      </c>
      <c r="C11" s="1">
        <v>1</v>
      </c>
      <c r="D11" s="1" t="str">
        <f t="shared" si="0"/>
        <v>BSPRTE02ITM460S</v>
      </c>
      <c r="E11" s="1" t="s">
        <v>29</v>
      </c>
      <c r="F11" s="1" t="s">
        <v>9</v>
      </c>
      <c r="G11" s="1" t="s">
        <v>10</v>
      </c>
      <c r="H11" s="1" t="s">
        <v>11</v>
      </c>
      <c r="I11" s="1" t="s">
        <v>30</v>
      </c>
      <c r="J11" s="1"/>
    </row>
    <row r="12" spans="1:10" ht="12.75" x14ac:dyDescent="0.2">
      <c r="A12" s="1" t="s">
        <v>6</v>
      </c>
      <c r="B12" s="1" t="s">
        <v>7</v>
      </c>
      <c r="C12" s="1">
        <v>1</v>
      </c>
      <c r="D12" s="1" t="str">
        <f t="shared" si="0"/>
        <v>BSSPFT02ITM460S</v>
      </c>
      <c r="E12" s="1" t="s">
        <v>31</v>
      </c>
      <c r="F12" s="1" t="s">
        <v>9</v>
      </c>
      <c r="G12" s="1" t="s">
        <v>10</v>
      </c>
      <c r="H12" s="1" t="s">
        <v>11</v>
      </c>
      <c r="I12" s="1" t="s">
        <v>32</v>
      </c>
      <c r="J12" s="1"/>
    </row>
    <row r="13" spans="1:10" ht="12.75" x14ac:dyDescent="0.2">
      <c r="A13" s="1" t="s">
        <v>6</v>
      </c>
      <c r="B13" s="1" t="s">
        <v>7</v>
      </c>
      <c r="C13" s="1">
        <v>1</v>
      </c>
      <c r="D13" s="1" t="str">
        <f t="shared" si="0"/>
        <v>BSXRLV02ITM086S</v>
      </c>
      <c r="E13" s="1" t="s">
        <v>33</v>
      </c>
      <c r="F13" s="1" t="s">
        <v>9</v>
      </c>
      <c r="G13" s="1" t="s">
        <v>10</v>
      </c>
      <c r="H13" s="1" t="s">
        <v>11</v>
      </c>
      <c r="I13" s="1" t="s">
        <v>34</v>
      </c>
      <c r="J13" s="1"/>
    </row>
    <row r="14" spans="1:10" ht="12.75" x14ac:dyDescent="0.2">
      <c r="A14" s="1" t="s">
        <v>6</v>
      </c>
      <c r="B14" s="1" t="s">
        <v>7</v>
      </c>
      <c r="C14" s="1">
        <v>1</v>
      </c>
      <c r="D14" s="1" t="str">
        <f t="shared" si="0"/>
        <v>ITABCBUTE02STSAM</v>
      </c>
      <c r="E14" s="1" t="s">
        <v>35</v>
      </c>
      <c r="F14" s="1" t="s">
        <v>9</v>
      </c>
      <c r="G14" s="1" t="s">
        <v>10</v>
      </c>
      <c r="H14" s="1" t="s">
        <v>11</v>
      </c>
      <c r="I14" s="1" t="s">
        <v>36</v>
      </c>
      <c r="J14" s="1"/>
    </row>
    <row r="15" spans="1:10" ht="12.75" x14ac:dyDescent="0.2">
      <c r="A15" s="1" t="s">
        <v>6</v>
      </c>
      <c r="B15" s="1" t="s">
        <v>7</v>
      </c>
      <c r="C15" s="1">
        <v>1</v>
      </c>
      <c r="D15" s="1" t="str">
        <f t="shared" si="0"/>
        <v>ITABRBUFT02STSAM</v>
      </c>
      <c r="E15" s="1" t="s">
        <v>37</v>
      </c>
      <c r="F15" s="1" t="s">
        <v>9</v>
      </c>
      <c r="G15" s="1" t="s">
        <v>10</v>
      </c>
      <c r="H15" s="1" t="s">
        <v>11</v>
      </c>
      <c r="I15" s="1" t="s">
        <v>38</v>
      </c>
      <c r="J15" s="1"/>
    </row>
    <row r="16" spans="1:10" ht="12.75" x14ac:dyDescent="0.2">
      <c r="A16" s="1" t="s">
        <v>6</v>
      </c>
      <c r="B16" s="1" t="s">
        <v>7</v>
      </c>
      <c r="C16" s="1">
        <v>1</v>
      </c>
      <c r="D16" s="1" t="str">
        <f t="shared" si="0"/>
        <v>ITABRBUTE02STSAM</v>
      </c>
      <c r="E16" s="1" t="s">
        <v>39</v>
      </c>
      <c r="F16" s="1" t="s">
        <v>9</v>
      </c>
      <c r="G16" s="1" t="s">
        <v>10</v>
      </c>
      <c r="H16" s="1" t="s">
        <v>11</v>
      </c>
      <c r="I16" s="1" t="s">
        <v>40</v>
      </c>
      <c r="J16" s="1"/>
    </row>
    <row r="17" spans="1:10" ht="12.75" x14ac:dyDescent="0.2">
      <c r="A17" s="1" t="s">
        <v>6</v>
      </c>
      <c r="B17" s="1" t="s">
        <v>7</v>
      </c>
      <c r="C17" s="1">
        <v>1</v>
      </c>
      <c r="D17" s="1" t="str">
        <f t="shared" si="0"/>
        <v>ITABRCICP02STSAM</v>
      </c>
      <c r="E17" s="1" t="s">
        <v>41</v>
      </c>
      <c r="F17" s="1" t="s">
        <v>9</v>
      </c>
      <c r="G17" s="1" t="s">
        <v>10</v>
      </c>
      <c r="H17" s="1" t="s">
        <v>11</v>
      </c>
      <c r="I17" s="1" t="s">
        <v>42</v>
      </c>
      <c r="J17" s="1"/>
    </row>
    <row r="18" spans="1:10" ht="12.75" x14ac:dyDescent="0.2">
      <c r="A18" s="1" t="s">
        <v>6</v>
      </c>
      <c r="B18" s="1" t="s">
        <v>7</v>
      </c>
      <c r="C18" s="1">
        <v>1</v>
      </c>
      <c r="D18" s="1" t="str">
        <f t="shared" si="0"/>
        <v>ITABREMFT02STSAM</v>
      </c>
      <c r="E18" s="1" t="s">
        <v>43</v>
      </c>
      <c r="F18" s="1" t="s">
        <v>9</v>
      </c>
      <c r="G18" s="1" t="s">
        <v>10</v>
      </c>
      <c r="H18" s="1" t="s">
        <v>11</v>
      </c>
      <c r="I18" s="1" t="s">
        <v>44</v>
      </c>
      <c r="J18" s="1"/>
    </row>
    <row r="19" spans="1:10" ht="12.75" x14ac:dyDescent="0.2">
      <c r="A19" s="1" t="s">
        <v>6</v>
      </c>
      <c r="B19" s="1" t="s">
        <v>7</v>
      </c>
      <c r="C19" s="1">
        <v>1</v>
      </c>
      <c r="D19" s="1" t="str">
        <f t="shared" si="0"/>
        <v>ITABRODFT02STSAM</v>
      </c>
      <c r="E19" s="1" t="s">
        <v>45</v>
      </c>
      <c r="F19" s="1" t="s">
        <v>9</v>
      </c>
      <c r="G19" s="1" t="s">
        <v>10</v>
      </c>
      <c r="H19" s="1" t="s">
        <v>11</v>
      </c>
      <c r="I19" s="1" t="s">
        <v>46</v>
      </c>
      <c r="J19" s="1"/>
    </row>
    <row r="20" spans="1:10" ht="12.75" x14ac:dyDescent="0.2">
      <c r="A20" s="1" t="s">
        <v>6</v>
      </c>
      <c r="B20" s="1" t="s">
        <v>7</v>
      </c>
      <c r="C20" s="1">
        <v>1</v>
      </c>
      <c r="D20" s="1" t="str">
        <f t="shared" si="0"/>
        <v>ITABRVSLV02STSAM</v>
      </c>
      <c r="E20" s="1" t="s">
        <v>47</v>
      </c>
      <c r="F20" s="1" t="s">
        <v>9</v>
      </c>
      <c r="G20" s="1" t="s">
        <v>10</v>
      </c>
      <c r="H20" s="1" t="s">
        <v>11</v>
      </c>
      <c r="I20" s="1" t="s">
        <v>48</v>
      </c>
      <c r="J20" s="1"/>
    </row>
    <row r="21" spans="1:10" ht="12.75" x14ac:dyDescent="0.2">
      <c r="A21" s="1" t="s">
        <v>6</v>
      </c>
      <c r="B21" s="1" t="s">
        <v>7</v>
      </c>
      <c r="C21" s="1">
        <v>1</v>
      </c>
      <c r="D21" s="1" t="str">
        <f t="shared" si="0"/>
        <v>CSCICP02ITM460S</v>
      </c>
      <c r="E21" s="1" t="s">
        <v>49</v>
      </c>
      <c r="F21" s="1" t="s">
        <v>9</v>
      </c>
      <c r="G21" s="1" t="s">
        <v>10</v>
      </c>
      <c r="H21" s="1" t="s">
        <v>50</v>
      </c>
      <c r="I21" s="1" t="s">
        <v>51</v>
      </c>
      <c r="J21" s="1"/>
    </row>
    <row r="22" spans="1:10" ht="12.75" x14ac:dyDescent="0.2">
      <c r="A22" s="1" t="s">
        <v>6</v>
      </c>
      <c r="B22" s="1" t="s">
        <v>7</v>
      </c>
      <c r="C22" s="1">
        <v>1</v>
      </c>
      <c r="D22" s="1" t="str">
        <f t="shared" si="0"/>
        <v>CSESFT02ITM460S</v>
      </c>
      <c r="E22" s="1" t="s">
        <v>52</v>
      </c>
      <c r="F22" s="1" t="s">
        <v>9</v>
      </c>
      <c r="G22" s="1" t="s">
        <v>10</v>
      </c>
      <c r="H22" s="1" t="s">
        <v>50</v>
      </c>
      <c r="I22" s="1" t="s">
        <v>53</v>
      </c>
      <c r="J22" s="1"/>
    </row>
    <row r="23" spans="1:10" ht="12.75" x14ac:dyDescent="0.2">
      <c r="A23" s="1" t="s">
        <v>6</v>
      </c>
      <c r="B23" s="1" t="s">
        <v>7</v>
      </c>
      <c r="C23" s="1">
        <v>1</v>
      </c>
      <c r="D23" s="1" t="str">
        <f t="shared" si="0"/>
        <v>CSINFT02ITM460S</v>
      </c>
      <c r="E23" s="1" t="s">
        <v>54</v>
      </c>
      <c r="F23" s="1" t="s">
        <v>9</v>
      </c>
      <c r="G23" s="1" t="s">
        <v>10</v>
      </c>
      <c r="H23" s="1" t="s">
        <v>50</v>
      </c>
      <c r="I23" s="1" t="s">
        <v>55</v>
      </c>
      <c r="J23" s="1"/>
    </row>
    <row r="24" spans="1:10" ht="12.75" x14ac:dyDescent="0.2">
      <c r="A24" s="1" t="s">
        <v>6</v>
      </c>
      <c r="B24" s="1" t="s">
        <v>56</v>
      </c>
      <c r="C24" s="1">
        <v>1</v>
      </c>
      <c r="D24" s="1" t="str">
        <f t="shared" si="0"/>
        <v>NGDPDSAIXITQ</v>
      </c>
      <c r="E24" s="1" t="s">
        <v>57</v>
      </c>
      <c r="F24" s="1" t="s">
        <v>58</v>
      </c>
      <c r="G24" s="1" t="s">
        <v>10</v>
      </c>
      <c r="H24" s="1" t="s">
        <v>59</v>
      </c>
      <c r="I24" s="1" t="s">
        <v>60</v>
      </c>
      <c r="J24" s="1"/>
    </row>
    <row r="25" spans="1:10" ht="12.75" x14ac:dyDescent="0.2">
      <c r="A25" s="1" t="s">
        <v>6</v>
      </c>
      <c r="B25" s="1" t="s">
        <v>56</v>
      </c>
      <c r="C25" s="1">
        <v>1</v>
      </c>
      <c r="D25" s="1" t="str">
        <f t="shared" si="0"/>
        <v>NGDPSAXDCITQ</v>
      </c>
      <c r="E25" s="1" t="s">
        <v>61</v>
      </c>
      <c r="F25" s="1" t="s">
        <v>58</v>
      </c>
      <c r="G25" s="1" t="s">
        <v>10</v>
      </c>
      <c r="H25" s="1" t="s">
        <v>62</v>
      </c>
      <c r="I25" s="1" t="s">
        <v>63</v>
      </c>
      <c r="J25" s="1"/>
    </row>
    <row r="26" spans="1:10" ht="12.75" x14ac:dyDescent="0.2">
      <c r="A26" s="1" t="s">
        <v>6</v>
      </c>
      <c r="B26" s="1" t="s">
        <v>56</v>
      </c>
      <c r="C26" s="1">
        <v>1</v>
      </c>
      <c r="D26" s="1" t="str">
        <f t="shared" si="0"/>
        <v>NCPSAXDCITQ</v>
      </c>
      <c r="E26" s="1" t="s">
        <v>64</v>
      </c>
      <c r="F26" s="1" t="s">
        <v>58</v>
      </c>
      <c r="G26" s="1" t="s">
        <v>10</v>
      </c>
      <c r="H26" s="1" t="s">
        <v>62</v>
      </c>
      <c r="I26" s="1" t="s">
        <v>65</v>
      </c>
      <c r="J26" s="1"/>
    </row>
    <row r="27" spans="1:10" ht="12.75" x14ac:dyDescent="0.2">
      <c r="A27" s="1" t="s">
        <v>6</v>
      </c>
      <c r="B27" s="1" t="s">
        <v>56</v>
      </c>
      <c r="C27" s="1">
        <v>1</v>
      </c>
      <c r="D27" s="1" t="str">
        <f t="shared" si="0"/>
        <v>NISAXDCITQ</v>
      </c>
      <c r="E27" s="1" t="s">
        <v>66</v>
      </c>
      <c r="F27" s="1" t="s">
        <v>58</v>
      </c>
      <c r="G27" s="1" t="s">
        <v>10</v>
      </c>
      <c r="H27" s="1" t="s">
        <v>62</v>
      </c>
      <c r="I27" s="1" t="s">
        <v>67</v>
      </c>
      <c r="J27" s="1"/>
    </row>
    <row r="28" spans="1:10" ht="12.75" x14ac:dyDescent="0.2">
      <c r="A28" s="1" t="s">
        <v>6</v>
      </c>
      <c r="B28" s="1" t="s">
        <v>56</v>
      </c>
      <c r="C28" s="1">
        <v>1</v>
      </c>
      <c r="D28" s="1" t="str">
        <f t="shared" si="0"/>
        <v>NINVSAXDCITQ</v>
      </c>
      <c r="E28" s="1" t="s">
        <v>68</v>
      </c>
      <c r="F28" s="1" t="s">
        <v>58</v>
      </c>
      <c r="G28" s="1" t="s">
        <v>10</v>
      </c>
      <c r="H28" s="1" t="s">
        <v>62</v>
      </c>
      <c r="I28" s="1" t="s">
        <v>69</v>
      </c>
      <c r="J28" s="1"/>
    </row>
    <row r="29" spans="1:10" ht="12.75" x14ac:dyDescent="0.2">
      <c r="A29" s="1" t="s">
        <v>6</v>
      </c>
      <c r="B29" s="1" t="s">
        <v>56</v>
      </c>
      <c r="C29" s="1">
        <v>1</v>
      </c>
      <c r="D29" s="1" t="str">
        <f t="shared" si="0"/>
        <v>NCGGSAXDCITQ</v>
      </c>
      <c r="E29" s="1" t="s">
        <v>70</v>
      </c>
      <c r="F29" s="1" t="s">
        <v>58</v>
      </c>
      <c r="G29" s="1" t="s">
        <v>10</v>
      </c>
      <c r="H29" s="1" t="s">
        <v>62</v>
      </c>
      <c r="I29" s="1" t="s">
        <v>71</v>
      </c>
      <c r="J29" s="1"/>
    </row>
    <row r="30" spans="1:10" ht="12.75" x14ac:dyDescent="0.2">
      <c r="A30" s="1" t="s">
        <v>6</v>
      </c>
      <c r="B30" s="1" t="s">
        <v>56</v>
      </c>
      <c r="C30" s="1">
        <v>1</v>
      </c>
      <c r="D30" s="1" t="str">
        <f t="shared" si="0"/>
        <v>NXSAXDCITQ</v>
      </c>
      <c r="E30" s="1" t="s">
        <v>72</v>
      </c>
      <c r="F30" s="1" t="s">
        <v>58</v>
      </c>
      <c r="G30" s="1" t="s">
        <v>10</v>
      </c>
      <c r="H30" s="1" t="s">
        <v>62</v>
      </c>
      <c r="I30" s="1" t="s">
        <v>73</v>
      </c>
      <c r="J30" s="1"/>
    </row>
    <row r="31" spans="1:10" ht="12.75" x14ac:dyDescent="0.2">
      <c r="A31" s="1" t="s">
        <v>6</v>
      </c>
      <c r="B31" s="1" t="s">
        <v>56</v>
      </c>
      <c r="C31" s="1">
        <v>1</v>
      </c>
      <c r="D31" s="1" t="str">
        <f t="shared" si="0"/>
        <v>NMSAXDCITQ</v>
      </c>
      <c r="E31" s="1" t="s">
        <v>74</v>
      </c>
      <c r="F31" s="1" t="s">
        <v>58</v>
      </c>
      <c r="G31" s="1" t="s">
        <v>10</v>
      </c>
      <c r="H31" s="1" t="s">
        <v>62</v>
      </c>
      <c r="I31" s="1" t="s">
        <v>75</v>
      </c>
      <c r="J31" s="1"/>
    </row>
    <row r="32" spans="1:10" ht="12.75" x14ac:dyDescent="0.2">
      <c r="A32" s="1" t="s">
        <v>6</v>
      </c>
      <c r="B32" s="1" t="s">
        <v>56</v>
      </c>
      <c r="C32" s="1">
        <v>1</v>
      </c>
      <c r="D32" s="1" t="str">
        <f t="shared" si="0"/>
        <v>NCSAXDCITQ</v>
      </c>
      <c r="E32" s="1" t="s">
        <v>76</v>
      </c>
      <c r="F32" s="1" t="s">
        <v>58</v>
      </c>
      <c r="G32" s="1" t="s">
        <v>10</v>
      </c>
      <c r="H32" s="1" t="s">
        <v>62</v>
      </c>
      <c r="I32" s="1" t="s">
        <v>77</v>
      </c>
      <c r="J32" s="1"/>
    </row>
    <row r="33" spans="1:10" ht="12.75" x14ac:dyDescent="0.2">
      <c r="A33" s="1" t="s">
        <v>6</v>
      </c>
      <c r="B33" s="1" t="s">
        <v>56</v>
      </c>
      <c r="C33" s="1">
        <v>1</v>
      </c>
      <c r="D33" s="1" t="str">
        <f t="shared" si="0"/>
        <v>NFISAXDCITQ</v>
      </c>
      <c r="E33" s="1" t="s">
        <v>78</v>
      </c>
      <c r="F33" s="1" t="s">
        <v>58</v>
      </c>
      <c r="G33" s="1" t="s">
        <v>10</v>
      </c>
      <c r="H33" s="1" t="s">
        <v>62</v>
      </c>
      <c r="I33" s="1" t="s">
        <v>79</v>
      </c>
      <c r="J33" s="1"/>
    </row>
    <row r="34" spans="1:10" ht="12.75" x14ac:dyDescent="0.2">
      <c r="A34" s="1" t="s">
        <v>6</v>
      </c>
      <c r="B34" s="1" t="s">
        <v>56</v>
      </c>
      <c r="C34" s="1">
        <v>1</v>
      </c>
      <c r="D34" s="1" t="str">
        <f t="shared" si="0"/>
        <v>NGDPRSAXDCITQ</v>
      </c>
      <c r="E34" s="1" t="s">
        <v>80</v>
      </c>
      <c r="F34" s="1" t="s">
        <v>58</v>
      </c>
      <c r="G34" s="1" t="s">
        <v>10</v>
      </c>
      <c r="H34" s="1" t="s">
        <v>81</v>
      </c>
      <c r="I34" s="1" t="s">
        <v>82</v>
      </c>
      <c r="J34" s="1"/>
    </row>
    <row r="35" spans="1:10" ht="12.75" x14ac:dyDescent="0.2">
      <c r="A35" s="1" t="s">
        <v>6</v>
      </c>
      <c r="B35" s="1" t="s">
        <v>56</v>
      </c>
      <c r="C35" s="1">
        <v>1</v>
      </c>
      <c r="D35" s="1" t="str">
        <f t="shared" si="0"/>
        <v>NCPRSAXDCITQ</v>
      </c>
      <c r="E35" s="1" t="s">
        <v>83</v>
      </c>
      <c r="F35" s="1" t="s">
        <v>58</v>
      </c>
      <c r="G35" s="1" t="s">
        <v>10</v>
      </c>
      <c r="H35" s="1" t="s">
        <v>81</v>
      </c>
      <c r="I35" s="1" t="s">
        <v>84</v>
      </c>
      <c r="J35" s="1"/>
    </row>
    <row r="36" spans="1:10" ht="12.75" x14ac:dyDescent="0.2">
      <c r="A36" s="1" t="s">
        <v>6</v>
      </c>
      <c r="B36" s="1" t="s">
        <v>56</v>
      </c>
      <c r="C36" s="1">
        <v>1</v>
      </c>
      <c r="D36" s="1" t="str">
        <f t="shared" si="0"/>
        <v>NIRSAXDCITQ</v>
      </c>
      <c r="E36" s="1" t="s">
        <v>85</v>
      </c>
      <c r="F36" s="1" t="s">
        <v>58</v>
      </c>
      <c r="G36" s="1" t="s">
        <v>10</v>
      </c>
      <c r="H36" s="1" t="s">
        <v>81</v>
      </c>
      <c r="I36" s="1" t="s">
        <v>86</v>
      </c>
      <c r="J36" s="1"/>
    </row>
    <row r="37" spans="1:10" ht="12.75" x14ac:dyDescent="0.2">
      <c r="A37" s="1" t="s">
        <v>6</v>
      </c>
      <c r="B37" s="1" t="s">
        <v>56</v>
      </c>
      <c r="C37" s="1">
        <v>1</v>
      </c>
      <c r="D37" s="1" t="str">
        <f t="shared" si="0"/>
        <v>NINVRSAXDCITQ</v>
      </c>
      <c r="E37" s="1" t="s">
        <v>87</v>
      </c>
      <c r="F37" s="1" t="s">
        <v>58</v>
      </c>
      <c r="G37" s="1" t="s">
        <v>10</v>
      </c>
      <c r="H37" s="1" t="s">
        <v>81</v>
      </c>
      <c r="I37" s="1" t="s">
        <v>88</v>
      </c>
      <c r="J37" s="1"/>
    </row>
    <row r="38" spans="1:10" ht="12.75" x14ac:dyDescent="0.2">
      <c r="A38" s="1" t="s">
        <v>6</v>
      </c>
      <c r="B38" s="1" t="s">
        <v>56</v>
      </c>
      <c r="C38" s="1">
        <v>1</v>
      </c>
      <c r="D38" s="1" t="str">
        <f t="shared" si="0"/>
        <v>NCGGRSAXDCITQ</v>
      </c>
      <c r="E38" s="1" t="s">
        <v>89</v>
      </c>
      <c r="F38" s="1" t="s">
        <v>58</v>
      </c>
      <c r="G38" s="1" t="s">
        <v>10</v>
      </c>
      <c r="H38" s="1" t="s">
        <v>81</v>
      </c>
      <c r="I38" s="1" t="s">
        <v>90</v>
      </c>
      <c r="J38" s="1"/>
    </row>
    <row r="39" spans="1:10" ht="12.75" x14ac:dyDescent="0.2">
      <c r="A39" s="1" t="s">
        <v>6</v>
      </c>
      <c r="B39" s="1" t="s">
        <v>56</v>
      </c>
      <c r="C39" s="1">
        <v>1</v>
      </c>
      <c r="D39" s="1" t="str">
        <f t="shared" si="0"/>
        <v>NXRSAXDCITQ</v>
      </c>
      <c r="E39" s="1" t="s">
        <v>91</v>
      </c>
      <c r="F39" s="1" t="s">
        <v>58</v>
      </c>
      <c r="G39" s="1" t="s">
        <v>10</v>
      </c>
      <c r="H39" s="1" t="s">
        <v>81</v>
      </c>
      <c r="I39" s="1" t="s">
        <v>92</v>
      </c>
      <c r="J39" s="1"/>
    </row>
    <row r="40" spans="1:10" ht="12.75" x14ac:dyDescent="0.2">
      <c r="A40" s="1" t="s">
        <v>6</v>
      </c>
      <c r="B40" s="1" t="s">
        <v>56</v>
      </c>
      <c r="C40" s="1">
        <v>1</v>
      </c>
      <c r="D40" s="1" t="str">
        <f t="shared" si="0"/>
        <v>NMRSAXDCITQ</v>
      </c>
      <c r="E40" s="1" t="s">
        <v>93</v>
      </c>
      <c r="F40" s="1" t="s">
        <v>58</v>
      </c>
      <c r="G40" s="1" t="s">
        <v>10</v>
      </c>
      <c r="H40" s="1" t="s">
        <v>81</v>
      </c>
      <c r="I40" s="1" t="s">
        <v>94</v>
      </c>
      <c r="J40" s="1"/>
    </row>
    <row r="41" spans="1:10" ht="12.75" x14ac:dyDescent="0.2">
      <c r="A41" s="1" t="s">
        <v>6</v>
      </c>
      <c r="B41" s="1" t="s">
        <v>56</v>
      </c>
      <c r="C41" s="1">
        <v>1</v>
      </c>
      <c r="D41" s="1" t="str">
        <f t="shared" si="0"/>
        <v>NCRSAXDCITQ</v>
      </c>
      <c r="E41" s="1" t="s">
        <v>95</v>
      </c>
      <c r="F41" s="1" t="s">
        <v>58</v>
      </c>
      <c r="G41" s="1" t="s">
        <v>10</v>
      </c>
      <c r="H41" s="1" t="s">
        <v>81</v>
      </c>
      <c r="I41" s="1" t="s">
        <v>96</v>
      </c>
      <c r="J41" s="1"/>
    </row>
    <row r="42" spans="1:10" ht="12.75" x14ac:dyDescent="0.2">
      <c r="A42" s="1" t="s">
        <v>6</v>
      </c>
      <c r="B42" s="1" t="s">
        <v>56</v>
      </c>
      <c r="C42" s="1">
        <v>1</v>
      </c>
      <c r="D42" s="1" t="str">
        <f t="shared" si="0"/>
        <v>NFIRSAXDCITQ</v>
      </c>
      <c r="E42" s="1" t="s">
        <v>97</v>
      </c>
      <c r="F42" s="1" t="s">
        <v>58</v>
      </c>
      <c r="G42" s="1" t="s">
        <v>10</v>
      </c>
      <c r="H42" s="1" t="s">
        <v>81</v>
      </c>
      <c r="I42" s="1" t="s">
        <v>98</v>
      </c>
      <c r="J42" s="1"/>
    </row>
    <row r="43" spans="1:10" ht="12.75" x14ac:dyDescent="0.2">
      <c r="A43" s="1" t="s">
        <v>6</v>
      </c>
      <c r="B43" s="1" t="s">
        <v>7</v>
      </c>
      <c r="C43" s="1">
        <v>1</v>
      </c>
      <c r="D43" s="1" t="str">
        <f t="shared" si="0"/>
        <v>LFEAAGTTITQ647N</v>
      </c>
      <c r="E43" s="1" t="s">
        <v>99</v>
      </c>
      <c r="F43" s="1" t="s">
        <v>100</v>
      </c>
      <c r="G43" s="1" t="s">
        <v>101</v>
      </c>
      <c r="H43" s="1" t="s">
        <v>102</v>
      </c>
      <c r="I43" s="1" t="s">
        <v>103</v>
      </c>
      <c r="J43" s="1"/>
    </row>
    <row r="44" spans="1:10" ht="12.75" x14ac:dyDescent="0.2">
      <c r="A44" s="1" t="s">
        <v>6</v>
      </c>
      <c r="B44" s="1" t="s">
        <v>7</v>
      </c>
      <c r="C44" s="1">
        <v>1</v>
      </c>
      <c r="D44" s="1" t="str">
        <f t="shared" si="0"/>
        <v>LFEACNTTITQ647N</v>
      </c>
      <c r="E44" s="1" t="s">
        <v>104</v>
      </c>
      <c r="F44" s="1" t="s">
        <v>100</v>
      </c>
      <c r="G44" s="1" t="s">
        <v>101</v>
      </c>
      <c r="H44" s="1" t="s">
        <v>102</v>
      </c>
      <c r="I44" s="1" t="s">
        <v>105</v>
      </c>
      <c r="J44" s="1"/>
    </row>
    <row r="45" spans="1:10" ht="12.75" x14ac:dyDescent="0.2">
      <c r="A45" s="1" t="s">
        <v>6</v>
      </c>
      <c r="B45" s="1" t="s">
        <v>7</v>
      </c>
      <c r="C45" s="1">
        <v>1</v>
      </c>
      <c r="D45" s="1" t="str">
        <f t="shared" si="0"/>
        <v>LFEAICTTITQ647N</v>
      </c>
      <c r="E45" s="1" t="s">
        <v>106</v>
      </c>
      <c r="F45" s="1" t="s">
        <v>100</v>
      </c>
      <c r="G45" s="1" t="s">
        <v>101</v>
      </c>
      <c r="H45" s="1" t="s">
        <v>102</v>
      </c>
      <c r="I45" s="1" t="s">
        <v>107</v>
      </c>
      <c r="J45" s="1"/>
    </row>
    <row r="46" spans="1:10" ht="12.75" x14ac:dyDescent="0.2">
      <c r="A46" s="1" t="s">
        <v>6</v>
      </c>
      <c r="B46" s="1" t="s">
        <v>7</v>
      </c>
      <c r="C46" s="1">
        <v>1</v>
      </c>
      <c r="D46" s="1" t="str">
        <f t="shared" si="0"/>
        <v>LFEAINTTITQ647N</v>
      </c>
      <c r="E46" s="1" t="s">
        <v>108</v>
      </c>
      <c r="F46" s="1" t="s">
        <v>100</v>
      </c>
      <c r="G46" s="1" t="s">
        <v>101</v>
      </c>
      <c r="H46" s="1" t="s">
        <v>102</v>
      </c>
      <c r="I46" s="1" t="s">
        <v>109</v>
      </c>
      <c r="J46" s="1"/>
    </row>
    <row r="47" spans="1:10" ht="12.75" x14ac:dyDescent="0.2">
      <c r="A47" s="1" t="s">
        <v>6</v>
      </c>
      <c r="B47" s="1" t="s">
        <v>7</v>
      </c>
      <c r="C47" s="1">
        <v>1</v>
      </c>
      <c r="D47" s="1" t="str">
        <f t="shared" si="0"/>
        <v>LFEAMNTTITQ647N</v>
      </c>
      <c r="E47" s="1" t="s">
        <v>110</v>
      </c>
      <c r="F47" s="1" t="s">
        <v>100</v>
      </c>
      <c r="G47" s="1" t="s">
        <v>101</v>
      </c>
      <c r="H47" s="1" t="s">
        <v>102</v>
      </c>
      <c r="I47" s="1" t="s">
        <v>111</v>
      </c>
      <c r="J47" s="1"/>
    </row>
    <row r="48" spans="1:10" ht="12.75" x14ac:dyDescent="0.2">
      <c r="A48" s="1" t="s">
        <v>6</v>
      </c>
      <c r="B48" s="1" t="s">
        <v>7</v>
      </c>
      <c r="C48" s="1">
        <v>1</v>
      </c>
      <c r="D48" s="1" t="str">
        <f t="shared" si="0"/>
        <v>LFEASETTITQ647N</v>
      </c>
      <c r="E48" s="1" t="s">
        <v>112</v>
      </c>
      <c r="F48" s="1" t="s">
        <v>100</v>
      </c>
      <c r="G48" s="1" t="s">
        <v>101</v>
      </c>
      <c r="H48" s="1" t="s">
        <v>102</v>
      </c>
      <c r="I48" s="1" t="s">
        <v>113</v>
      </c>
      <c r="J48" s="1"/>
    </row>
    <row r="49" spans="1:10" ht="12.75" x14ac:dyDescent="0.2">
      <c r="A49" s="1" t="s">
        <v>6</v>
      </c>
      <c r="B49" s="1" t="s">
        <v>7</v>
      </c>
      <c r="C49" s="1">
        <v>1</v>
      </c>
      <c r="D49" s="1" t="str">
        <f t="shared" si="0"/>
        <v>LFEM24FEITQ647N</v>
      </c>
      <c r="E49" s="1" t="s">
        <v>114</v>
      </c>
      <c r="F49" s="1" t="s">
        <v>100</v>
      </c>
      <c r="G49" s="1" t="s">
        <v>101</v>
      </c>
      <c r="H49" s="1" t="s">
        <v>102</v>
      </c>
      <c r="I49" s="1" t="s">
        <v>115</v>
      </c>
      <c r="J49" s="1"/>
    </row>
    <row r="50" spans="1:10" ht="12.75" x14ac:dyDescent="0.2">
      <c r="A50" s="1" t="s">
        <v>6</v>
      </c>
      <c r="B50" s="1" t="s">
        <v>7</v>
      </c>
      <c r="C50" s="1">
        <v>1</v>
      </c>
      <c r="D50" s="1" t="str">
        <f t="shared" si="0"/>
        <v>LFEM24MAITQ647N</v>
      </c>
      <c r="E50" s="1" t="s">
        <v>116</v>
      </c>
      <c r="F50" s="1" t="s">
        <v>100</v>
      </c>
      <c r="G50" s="1" t="s">
        <v>101</v>
      </c>
      <c r="H50" s="1" t="s">
        <v>102</v>
      </c>
      <c r="I50" s="1" t="s">
        <v>117</v>
      </c>
      <c r="J50" s="1"/>
    </row>
    <row r="51" spans="1:10" ht="12.75" x14ac:dyDescent="0.2">
      <c r="A51" s="1" t="s">
        <v>6</v>
      </c>
      <c r="B51" s="1" t="s">
        <v>7</v>
      </c>
      <c r="C51" s="1">
        <v>1</v>
      </c>
      <c r="D51" s="1" t="str">
        <f t="shared" si="0"/>
        <v>LFEM24TTITQ647N</v>
      </c>
      <c r="E51" s="1" t="s">
        <v>118</v>
      </c>
      <c r="F51" s="1" t="s">
        <v>100</v>
      </c>
      <c r="G51" s="1" t="s">
        <v>101</v>
      </c>
      <c r="H51" s="1" t="s">
        <v>102</v>
      </c>
      <c r="I51" s="1" t="s">
        <v>119</v>
      </c>
      <c r="J51" s="1"/>
    </row>
    <row r="52" spans="1:10" ht="12.75" x14ac:dyDescent="0.2">
      <c r="A52" s="1" t="s">
        <v>6</v>
      </c>
      <c r="B52" s="1" t="s">
        <v>7</v>
      </c>
      <c r="C52" s="1">
        <v>1</v>
      </c>
      <c r="D52" s="1" t="str">
        <f t="shared" si="0"/>
        <v>LFEM25FEITQ647N</v>
      </c>
      <c r="E52" s="1" t="s">
        <v>120</v>
      </c>
      <c r="F52" s="1" t="s">
        <v>100</v>
      </c>
      <c r="G52" s="1" t="s">
        <v>101</v>
      </c>
      <c r="H52" s="1" t="s">
        <v>102</v>
      </c>
      <c r="I52" s="1" t="s">
        <v>121</v>
      </c>
      <c r="J52" s="1"/>
    </row>
    <row r="53" spans="1:10" ht="12.75" x14ac:dyDescent="0.2">
      <c r="A53" s="1" t="s">
        <v>6</v>
      </c>
      <c r="B53" s="1" t="s">
        <v>7</v>
      </c>
      <c r="C53" s="1">
        <v>1</v>
      </c>
      <c r="D53" s="1" t="str">
        <f t="shared" si="0"/>
        <v>LFEM25MAITQ647N</v>
      </c>
      <c r="E53" s="1" t="s">
        <v>122</v>
      </c>
      <c r="F53" s="1" t="s">
        <v>100</v>
      </c>
      <c r="G53" s="1" t="s">
        <v>101</v>
      </c>
      <c r="H53" s="1" t="s">
        <v>102</v>
      </c>
      <c r="I53" s="1" t="s">
        <v>123</v>
      </c>
      <c r="J53" s="1"/>
    </row>
    <row r="54" spans="1:10" ht="12.75" x14ac:dyDescent="0.2">
      <c r="A54" s="1" t="s">
        <v>6</v>
      </c>
      <c r="B54" s="1" t="s">
        <v>7</v>
      </c>
      <c r="C54" s="1">
        <v>1</v>
      </c>
      <c r="D54" s="1" t="str">
        <f t="shared" si="0"/>
        <v>LFEM25TTITQ647N</v>
      </c>
      <c r="E54" s="1" t="s">
        <v>124</v>
      </c>
      <c r="F54" s="1" t="s">
        <v>100</v>
      </c>
      <c r="G54" s="1" t="s">
        <v>101</v>
      </c>
      <c r="H54" s="1" t="s">
        <v>102</v>
      </c>
      <c r="I54" s="1" t="s">
        <v>125</v>
      </c>
      <c r="J54" s="1"/>
    </row>
    <row r="55" spans="1:10" ht="12.75" x14ac:dyDescent="0.2">
      <c r="A55" s="1" t="s">
        <v>6</v>
      </c>
      <c r="B55" s="1" t="s">
        <v>7</v>
      </c>
      <c r="C55" s="1">
        <v>1</v>
      </c>
      <c r="D55" s="1" t="str">
        <f t="shared" si="0"/>
        <v>LFEM55FEITQ647N</v>
      </c>
      <c r="E55" s="1" t="s">
        <v>126</v>
      </c>
      <c r="F55" s="1" t="s">
        <v>100</v>
      </c>
      <c r="G55" s="1" t="s">
        <v>101</v>
      </c>
      <c r="H55" s="1" t="s">
        <v>102</v>
      </c>
      <c r="I55" s="1" t="s">
        <v>127</v>
      </c>
      <c r="J55" s="1"/>
    </row>
    <row r="56" spans="1:10" ht="12.75" x14ac:dyDescent="0.2">
      <c r="A56" s="1" t="s">
        <v>6</v>
      </c>
      <c r="B56" s="1" t="s">
        <v>7</v>
      </c>
      <c r="C56" s="1">
        <v>1</v>
      </c>
      <c r="D56" s="1" t="str">
        <f t="shared" si="0"/>
        <v>LFEM55MAITQ647N</v>
      </c>
      <c r="E56" s="1" t="s">
        <v>128</v>
      </c>
      <c r="F56" s="1" t="s">
        <v>100</v>
      </c>
      <c r="G56" s="1" t="s">
        <v>101</v>
      </c>
      <c r="H56" s="1" t="s">
        <v>102</v>
      </c>
      <c r="I56" s="1" t="s">
        <v>129</v>
      </c>
      <c r="J56" s="1"/>
    </row>
    <row r="57" spans="1:10" ht="12.75" x14ac:dyDescent="0.2">
      <c r="A57" s="1" t="s">
        <v>6</v>
      </c>
      <c r="B57" s="1" t="s">
        <v>7</v>
      </c>
      <c r="C57" s="1">
        <v>1</v>
      </c>
      <c r="D57" s="1" t="str">
        <f t="shared" si="0"/>
        <v>LFEM55TTITQ647N</v>
      </c>
      <c r="E57" s="1" t="s">
        <v>130</v>
      </c>
      <c r="F57" s="1" t="s">
        <v>100</v>
      </c>
      <c r="G57" s="1" t="s">
        <v>101</v>
      </c>
      <c r="H57" s="1" t="s">
        <v>102</v>
      </c>
      <c r="I57" s="1" t="s">
        <v>131</v>
      </c>
      <c r="J57" s="1"/>
    </row>
    <row r="58" spans="1:10" ht="12.75" x14ac:dyDescent="0.2">
      <c r="A58" s="1" t="s">
        <v>6</v>
      </c>
      <c r="B58" s="1" t="s">
        <v>7</v>
      </c>
      <c r="C58" s="1">
        <v>1</v>
      </c>
      <c r="D58" s="1" t="str">
        <f t="shared" si="0"/>
        <v>LFEM64FEITQ647N</v>
      </c>
      <c r="E58" s="1" t="s">
        <v>132</v>
      </c>
      <c r="F58" s="1" t="s">
        <v>100</v>
      </c>
      <c r="G58" s="1" t="s">
        <v>101</v>
      </c>
      <c r="H58" s="1" t="s">
        <v>102</v>
      </c>
      <c r="I58" s="1" t="s">
        <v>133</v>
      </c>
      <c r="J58" s="1"/>
    </row>
    <row r="59" spans="1:10" ht="12.75" x14ac:dyDescent="0.2">
      <c r="A59" s="1" t="s">
        <v>6</v>
      </c>
      <c r="B59" s="1" t="s">
        <v>7</v>
      </c>
      <c r="C59" s="1">
        <v>1</v>
      </c>
      <c r="D59" s="1" t="str">
        <f t="shared" si="0"/>
        <v>LFEM64MAITQ647N</v>
      </c>
      <c r="E59" s="1" t="s">
        <v>134</v>
      </c>
      <c r="F59" s="1" t="s">
        <v>100</v>
      </c>
      <c r="G59" s="1" t="s">
        <v>101</v>
      </c>
      <c r="H59" s="1" t="s">
        <v>102</v>
      </c>
      <c r="I59" s="1" t="s">
        <v>135</v>
      </c>
      <c r="J59" s="1"/>
    </row>
    <row r="60" spans="1:10" ht="12.75" x14ac:dyDescent="0.2">
      <c r="A60" s="1" t="s">
        <v>6</v>
      </c>
      <c r="B60" s="1" t="s">
        <v>7</v>
      </c>
      <c r="C60" s="1">
        <v>1</v>
      </c>
      <c r="D60" s="1" t="str">
        <f t="shared" si="0"/>
        <v>LFEM64TTITQ647N</v>
      </c>
      <c r="E60" s="1" t="s">
        <v>136</v>
      </c>
      <c r="F60" s="1" t="s">
        <v>100</v>
      </c>
      <c r="G60" s="1" t="s">
        <v>101</v>
      </c>
      <c r="H60" s="1" t="s">
        <v>102</v>
      </c>
      <c r="I60" s="1" t="s">
        <v>137</v>
      </c>
      <c r="J60" s="1"/>
    </row>
    <row r="61" spans="1:10" ht="12.75" x14ac:dyDescent="0.2">
      <c r="A61" s="1" t="s">
        <v>6</v>
      </c>
      <c r="B61" s="1" t="s">
        <v>7</v>
      </c>
      <c r="C61" s="1">
        <v>1</v>
      </c>
      <c r="D61" s="1" t="str">
        <f t="shared" si="0"/>
        <v>LFEM74FEITQ647N</v>
      </c>
      <c r="E61" s="1" t="s">
        <v>138</v>
      </c>
      <c r="F61" s="1" t="s">
        <v>100</v>
      </c>
      <c r="G61" s="1" t="s">
        <v>101</v>
      </c>
      <c r="H61" s="1" t="s">
        <v>102</v>
      </c>
      <c r="I61" s="1" t="s">
        <v>139</v>
      </c>
      <c r="J61" s="1"/>
    </row>
    <row r="62" spans="1:10" ht="12.75" x14ac:dyDescent="0.2">
      <c r="A62" s="1" t="s">
        <v>6</v>
      </c>
      <c r="B62" s="1" t="s">
        <v>7</v>
      </c>
      <c r="C62" s="1">
        <v>1</v>
      </c>
      <c r="D62" s="1" t="str">
        <f t="shared" si="0"/>
        <v>LFEM74MAITQ647N</v>
      </c>
      <c r="E62" s="1" t="s">
        <v>140</v>
      </c>
      <c r="F62" s="1" t="s">
        <v>100</v>
      </c>
      <c r="G62" s="1" t="s">
        <v>101</v>
      </c>
      <c r="H62" s="1" t="s">
        <v>102</v>
      </c>
      <c r="I62" s="1" t="s">
        <v>141</v>
      </c>
      <c r="J62" s="1"/>
    </row>
    <row r="63" spans="1:10" ht="12.75" x14ac:dyDescent="0.2">
      <c r="A63" s="1" t="s">
        <v>6</v>
      </c>
      <c r="B63" s="1" t="s">
        <v>7</v>
      </c>
      <c r="C63" s="1">
        <v>1</v>
      </c>
      <c r="D63" s="1" t="str">
        <f t="shared" si="0"/>
        <v>LFEM74TTITQ647N</v>
      </c>
      <c r="E63" s="1" t="s">
        <v>142</v>
      </c>
      <c r="F63" s="1" t="s">
        <v>100</v>
      </c>
      <c r="G63" s="1" t="s">
        <v>101</v>
      </c>
      <c r="H63" s="1" t="s">
        <v>102</v>
      </c>
      <c r="I63" s="1" t="s">
        <v>143</v>
      </c>
      <c r="J63" s="1"/>
    </row>
    <row r="64" spans="1:10" ht="12.75" x14ac:dyDescent="0.2">
      <c r="A64" s="1" t="s">
        <v>6</v>
      </c>
      <c r="B64" s="1" t="s">
        <v>7</v>
      </c>
      <c r="C64" s="1">
        <v>1</v>
      </c>
      <c r="D64" s="1" t="str">
        <f t="shared" si="0"/>
        <v>LFEMTTFEITQ647N</v>
      </c>
      <c r="E64" s="1" t="s">
        <v>144</v>
      </c>
      <c r="F64" s="1" t="s">
        <v>100</v>
      </c>
      <c r="G64" s="1" t="s">
        <v>101</v>
      </c>
      <c r="H64" s="1" t="s">
        <v>102</v>
      </c>
      <c r="I64" s="1" t="s">
        <v>145</v>
      </c>
      <c r="J64" s="1"/>
    </row>
    <row r="65" spans="1:10" ht="12.75" x14ac:dyDescent="0.2">
      <c r="A65" s="1" t="s">
        <v>6</v>
      </c>
      <c r="B65" s="1" t="s">
        <v>7</v>
      </c>
      <c r="C65" s="1">
        <v>1</v>
      </c>
      <c r="D65" s="1" t="str">
        <f t="shared" si="0"/>
        <v>LFEMTTMAITQ647N</v>
      </c>
      <c r="E65" s="1" t="s">
        <v>146</v>
      </c>
      <c r="F65" s="1" t="s">
        <v>100</v>
      </c>
      <c r="G65" s="1" t="s">
        <v>101</v>
      </c>
      <c r="H65" s="1" t="s">
        <v>102</v>
      </c>
      <c r="I65" s="1" t="s">
        <v>147</v>
      </c>
      <c r="J65" s="1"/>
    </row>
    <row r="66" spans="1:10" ht="12.75" x14ac:dyDescent="0.2">
      <c r="A66" s="1" t="s">
        <v>6</v>
      </c>
      <c r="B66" s="1" t="s">
        <v>7</v>
      </c>
      <c r="C66" s="1">
        <v>1</v>
      </c>
      <c r="D66" s="1" t="str">
        <f t="shared" si="0"/>
        <v>LFEMTTTTITQ647N</v>
      </c>
      <c r="E66" s="1" t="s">
        <v>148</v>
      </c>
      <c r="F66" s="1" t="s">
        <v>100</v>
      </c>
      <c r="G66" s="1" t="s">
        <v>101</v>
      </c>
      <c r="H66" s="1" t="s">
        <v>102</v>
      </c>
      <c r="I66" s="1" t="s">
        <v>149</v>
      </c>
      <c r="J66" s="1"/>
    </row>
    <row r="67" spans="1:10" ht="12.75" x14ac:dyDescent="0.2">
      <c r="A67" s="1" t="s">
        <v>6</v>
      </c>
      <c r="B67" s="1" t="s">
        <v>7</v>
      </c>
      <c r="C67" s="1">
        <v>1</v>
      </c>
      <c r="D67" s="1" t="str">
        <f t="shared" ref="D67:D130" si="1">E67</f>
        <v>LFESEETTITQ647N</v>
      </c>
      <c r="E67" s="1" t="s">
        <v>150</v>
      </c>
      <c r="F67" s="1" t="s">
        <v>100</v>
      </c>
      <c r="G67" s="1" t="s">
        <v>101</v>
      </c>
      <c r="H67" s="1" t="s">
        <v>102</v>
      </c>
      <c r="I67" s="1" t="s">
        <v>151</v>
      </c>
      <c r="J67" s="1"/>
    </row>
    <row r="68" spans="1:10" ht="12.75" x14ac:dyDescent="0.2">
      <c r="A68" s="1" t="s">
        <v>6</v>
      </c>
      <c r="B68" s="1" t="s">
        <v>7</v>
      </c>
      <c r="C68" s="1">
        <v>1</v>
      </c>
      <c r="D68" s="1" t="str">
        <f t="shared" si="1"/>
        <v>LFHU24FEITQ647N</v>
      </c>
      <c r="E68" s="1" t="s">
        <v>152</v>
      </c>
      <c r="F68" s="1" t="s">
        <v>100</v>
      </c>
      <c r="G68" s="1" t="s">
        <v>101</v>
      </c>
      <c r="H68" s="1" t="s">
        <v>102</v>
      </c>
      <c r="I68" s="1" t="s">
        <v>153</v>
      </c>
      <c r="J68" s="1"/>
    </row>
    <row r="69" spans="1:10" ht="12.75" x14ac:dyDescent="0.2">
      <c r="A69" s="1" t="s">
        <v>6</v>
      </c>
      <c r="B69" s="1" t="s">
        <v>7</v>
      </c>
      <c r="C69" s="1">
        <v>1</v>
      </c>
      <c r="D69" s="1" t="str">
        <f t="shared" si="1"/>
        <v>LFHU24MAITQ647N</v>
      </c>
      <c r="E69" s="1" t="s">
        <v>154</v>
      </c>
      <c r="F69" s="1" t="s">
        <v>100</v>
      </c>
      <c r="G69" s="1" t="s">
        <v>101</v>
      </c>
      <c r="H69" s="1" t="s">
        <v>102</v>
      </c>
      <c r="I69" s="1" t="s">
        <v>155</v>
      </c>
      <c r="J69" s="1"/>
    </row>
    <row r="70" spans="1:10" ht="12.75" x14ac:dyDescent="0.2">
      <c r="A70" s="1" t="s">
        <v>6</v>
      </c>
      <c r="B70" s="1" t="s">
        <v>7</v>
      </c>
      <c r="C70" s="1">
        <v>1</v>
      </c>
      <c r="D70" s="1" t="str">
        <f t="shared" si="1"/>
        <v>LFHU24TTITQ647N</v>
      </c>
      <c r="E70" s="1" t="s">
        <v>156</v>
      </c>
      <c r="F70" s="1" t="s">
        <v>100</v>
      </c>
      <c r="G70" s="1" t="s">
        <v>101</v>
      </c>
      <c r="H70" s="1" t="s">
        <v>102</v>
      </c>
      <c r="I70" s="1" t="s">
        <v>157</v>
      </c>
      <c r="J70" s="1"/>
    </row>
    <row r="71" spans="1:10" ht="12.75" x14ac:dyDescent="0.2">
      <c r="A71" s="1" t="s">
        <v>6</v>
      </c>
      <c r="B71" s="1" t="s">
        <v>7</v>
      </c>
      <c r="C71" s="1">
        <v>1</v>
      </c>
      <c r="D71" s="1" t="str">
        <f t="shared" si="1"/>
        <v>LFHUADFEITQ647N</v>
      </c>
      <c r="E71" s="1" t="s">
        <v>158</v>
      </c>
      <c r="F71" s="1" t="s">
        <v>100</v>
      </c>
      <c r="G71" s="1" t="s">
        <v>101</v>
      </c>
      <c r="H71" s="1" t="s">
        <v>102</v>
      </c>
      <c r="I71" s="1" t="s">
        <v>159</v>
      </c>
      <c r="J71" s="1"/>
    </row>
    <row r="72" spans="1:10" ht="12.75" x14ac:dyDescent="0.2">
      <c r="A72" s="1" t="s">
        <v>6</v>
      </c>
      <c r="B72" s="1" t="s">
        <v>7</v>
      </c>
      <c r="C72" s="1">
        <v>1</v>
      </c>
      <c r="D72" s="1" t="str">
        <f t="shared" si="1"/>
        <v>LFHUADMAITQ647N</v>
      </c>
      <c r="E72" s="1" t="s">
        <v>160</v>
      </c>
      <c r="F72" s="1" t="s">
        <v>100</v>
      </c>
      <c r="G72" s="1" t="s">
        <v>101</v>
      </c>
      <c r="H72" s="1" t="s">
        <v>102</v>
      </c>
      <c r="I72" s="1" t="s">
        <v>161</v>
      </c>
      <c r="J72" s="1"/>
    </row>
    <row r="73" spans="1:10" ht="12.75" x14ac:dyDescent="0.2">
      <c r="A73" s="1" t="s">
        <v>6</v>
      </c>
      <c r="B73" s="1" t="s">
        <v>7</v>
      </c>
      <c r="C73" s="1">
        <v>1</v>
      </c>
      <c r="D73" s="1" t="str">
        <f t="shared" si="1"/>
        <v>LFHUADTTITQ647N</v>
      </c>
      <c r="E73" s="1" t="s">
        <v>162</v>
      </c>
      <c r="F73" s="1" t="s">
        <v>100</v>
      </c>
      <c r="G73" s="1" t="s">
        <v>101</v>
      </c>
      <c r="H73" s="1" t="s">
        <v>102</v>
      </c>
      <c r="I73" s="1" t="s">
        <v>163</v>
      </c>
      <c r="J73" s="1"/>
    </row>
    <row r="74" spans="1:10" ht="12.75" x14ac:dyDescent="0.2">
      <c r="A74" s="1" t="s">
        <v>6</v>
      </c>
      <c r="B74" s="1" t="s">
        <v>7</v>
      </c>
      <c r="C74" s="1">
        <v>1</v>
      </c>
      <c r="D74" s="1" t="str">
        <f t="shared" si="1"/>
        <v>LFHUTTFEITQ647N</v>
      </c>
      <c r="E74" s="1" t="s">
        <v>164</v>
      </c>
      <c r="F74" s="1" t="s">
        <v>100</v>
      </c>
      <c r="G74" s="1" t="s">
        <v>101</v>
      </c>
      <c r="H74" s="1" t="s">
        <v>102</v>
      </c>
      <c r="I74" s="1" t="s">
        <v>165</v>
      </c>
      <c r="J74" s="1"/>
    </row>
    <row r="75" spans="1:10" ht="12.75" x14ac:dyDescent="0.2">
      <c r="A75" s="1" t="s">
        <v>6</v>
      </c>
      <c r="B75" s="1" t="s">
        <v>7</v>
      </c>
      <c r="C75" s="1">
        <v>1</v>
      </c>
      <c r="D75" s="1" t="str">
        <f t="shared" si="1"/>
        <v>LFHUTTMAITQ647N</v>
      </c>
      <c r="E75" s="1" t="s">
        <v>166</v>
      </c>
      <c r="F75" s="1" t="s">
        <v>100</v>
      </c>
      <c r="G75" s="1" t="s">
        <v>101</v>
      </c>
      <c r="H75" s="1" t="s">
        <v>102</v>
      </c>
      <c r="I75" s="1" t="s">
        <v>167</v>
      </c>
      <c r="J75" s="1"/>
    </row>
    <row r="76" spans="1:10" ht="12.75" x14ac:dyDescent="0.2">
      <c r="A76" s="1" t="s">
        <v>6</v>
      </c>
      <c r="B76" s="1" t="s">
        <v>7</v>
      </c>
      <c r="C76" s="1">
        <v>1</v>
      </c>
      <c r="D76" s="1" t="str">
        <f t="shared" si="1"/>
        <v>LFHUTTTTITQ647N</v>
      </c>
      <c r="E76" s="1" t="s">
        <v>168</v>
      </c>
      <c r="F76" s="1" t="s">
        <v>100</v>
      </c>
      <c r="G76" s="1" t="s">
        <v>101</v>
      </c>
      <c r="H76" s="1" t="s">
        <v>102</v>
      </c>
      <c r="I76" s="1" t="s">
        <v>169</v>
      </c>
      <c r="J76" s="1"/>
    </row>
    <row r="77" spans="1:10" ht="12.75" x14ac:dyDescent="0.2">
      <c r="A77" s="1" t="s">
        <v>6</v>
      </c>
      <c r="B77" s="1" t="s">
        <v>7</v>
      </c>
      <c r="C77" s="1">
        <v>1</v>
      </c>
      <c r="D77" s="1" t="str">
        <f t="shared" si="1"/>
        <v>LFUN24FEITQ647N</v>
      </c>
      <c r="E77" s="1" t="s">
        <v>170</v>
      </c>
      <c r="F77" s="1" t="s">
        <v>100</v>
      </c>
      <c r="G77" s="1" t="s">
        <v>101</v>
      </c>
      <c r="H77" s="1" t="s">
        <v>102</v>
      </c>
      <c r="I77" s="1" t="s">
        <v>171</v>
      </c>
      <c r="J77" s="1"/>
    </row>
    <row r="78" spans="1:10" ht="12.75" x14ac:dyDescent="0.2">
      <c r="A78" s="1" t="s">
        <v>6</v>
      </c>
      <c r="B78" s="1" t="s">
        <v>7</v>
      </c>
      <c r="C78" s="1">
        <v>1</v>
      </c>
      <c r="D78" s="1" t="str">
        <f t="shared" si="1"/>
        <v>LFUN24MAITQ647N</v>
      </c>
      <c r="E78" s="1" t="s">
        <v>172</v>
      </c>
      <c r="F78" s="1" t="s">
        <v>100</v>
      </c>
      <c r="G78" s="1" t="s">
        <v>101</v>
      </c>
      <c r="H78" s="1" t="s">
        <v>102</v>
      </c>
      <c r="I78" s="1" t="s">
        <v>173</v>
      </c>
      <c r="J78" s="1"/>
    </row>
    <row r="79" spans="1:10" ht="12.75" x14ac:dyDescent="0.2">
      <c r="A79" s="1" t="s">
        <v>6</v>
      </c>
      <c r="B79" s="1" t="s">
        <v>7</v>
      </c>
      <c r="C79" s="1">
        <v>1</v>
      </c>
      <c r="D79" s="1" t="str">
        <f t="shared" si="1"/>
        <v>LFUN24TTITQ647N</v>
      </c>
      <c r="E79" s="1" t="s">
        <v>174</v>
      </c>
      <c r="F79" s="1" t="s">
        <v>100</v>
      </c>
      <c r="G79" s="1" t="s">
        <v>101</v>
      </c>
      <c r="H79" s="1" t="s">
        <v>102</v>
      </c>
      <c r="I79" s="1" t="s">
        <v>175</v>
      </c>
      <c r="J79" s="1"/>
    </row>
    <row r="80" spans="1:10" ht="12.75" x14ac:dyDescent="0.2">
      <c r="A80" s="1" t="s">
        <v>6</v>
      </c>
      <c r="B80" s="1" t="s">
        <v>7</v>
      </c>
      <c r="C80" s="1">
        <v>1</v>
      </c>
      <c r="D80" s="1" t="str">
        <f t="shared" si="1"/>
        <v>LFUN25FEITQ647N</v>
      </c>
      <c r="E80" s="1" t="s">
        <v>176</v>
      </c>
      <c r="F80" s="1" t="s">
        <v>100</v>
      </c>
      <c r="G80" s="1" t="s">
        <v>101</v>
      </c>
      <c r="H80" s="1" t="s">
        <v>102</v>
      </c>
      <c r="I80" s="1" t="s">
        <v>177</v>
      </c>
      <c r="J80" s="1"/>
    </row>
    <row r="81" spans="1:10" ht="12.75" x14ac:dyDescent="0.2">
      <c r="A81" s="1" t="s">
        <v>6</v>
      </c>
      <c r="B81" s="1" t="s">
        <v>7</v>
      </c>
      <c r="C81" s="1">
        <v>1</v>
      </c>
      <c r="D81" s="1" t="str">
        <f t="shared" si="1"/>
        <v>LFUN25MAITQ647N</v>
      </c>
      <c r="E81" s="1" t="s">
        <v>178</v>
      </c>
      <c r="F81" s="1" t="s">
        <v>100</v>
      </c>
      <c r="G81" s="1" t="s">
        <v>101</v>
      </c>
      <c r="H81" s="1" t="s">
        <v>102</v>
      </c>
      <c r="I81" s="1" t="s">
        <v>179</v>
      </c>
      <c r="J81" s="1"/>
    </row>
    <row r="82" spans="1:10" ht="12.75" x14ac:dyDescent="0.2">
      <c r="A82" s="1" t="s">
        <v>6</v>
      </c>
      <c r="B82" s="1" t="s">
        <v>7</v>
      </c>
      <c r="C82" s="1">
        <v>1</v>
      </c>
      <c r="D82" s="1" t="str">
        <f t="shared" si="1"/>
        <v>LFUN25TTITQ647N</v>
      </c>
      <c r="E82" s="1" t="s">
        <v>180</v>
      </c>
      <c r="F82" s="1" t="s">
        <v>100</v>
      </c>
      <c r="G82" s="1" t="s">
        <v>101</v>
      </c>
      <c r="H82" s="1" t="s">
        <v>102</v>
      </c>
      <c r="I82" s="1" t="s">
        <v>181</v>
      </c>
      <c r="J82" s="1"/>
    </row>
    <row r="83" spans="1:10" ht="12.75" x14ac:dyDescent="0.2">
      <c r="A83" s="1" t="s">
        <v>6</v>
      </c>
      <c r="B83" s="1" t="s">
        <v>7</v>
      </c>
      <c r="C83" s="1">
        <v>1</v>
      </c>
      <c r="D83" s="1" t="str">
        <f t="shared" si="1"/>
        <v>LFUN55FEITQ647N</v>
      </c>
      <c r="E83" s="1" t="s">
        <v>182</v>
      </c>
      <c r="F83" s="1" t="s">
        <v>100</v>
      </c>
      <c r="G83" s="1" t="s">
        <v>101</v>
      </c>
      <c r="H83" s="1" t="s">
        <v>102</v>
      </c>
      <c r="I83" s="1" t="s">
        <v>183</v>
      </c>
      <c r="J83" s="1"/>
    </row>
    <row r="84" spans="1:10" ht="12.75" x14ac:dyDescent="0.2">
      <c r="A84" s="1" t="s">
        <v>6</v>
      </c>
      <c r="B84" s="1" t="s">
        <v>7</v>
      </c>
      <c r="C84" s="1">
        <v>1</v>
      </c>
      <c r="D84" s="1" t="str">
        <f t="shared" si="1"/>
        <v>LFUN55MAITQ647N</v>
      </c>
      <c r="E84" s="1" t="s">
        <v>184</v>
      </c>
      <c r="F84" s="1" t="s">
        <v>100</v>
      </c>
      <c r="G84" s="1" t="s">
        <v>101</v>
      </c>
      <c r="H84" s="1" t="s">
        <v>102</v>
      </c>
      <c r="I84" s="1" t="s">
        <v>185</v>
      </c>
      <c r="J84" s="1"/>
    </row>
    <row r="85" spans="1:10" ht="12.75" x14ac:dyDescent="0.2">
      <c r="A85" s="1" t="s">
        <v>6</v>
      </c>
      <c r="B85" s="1" t="s">
        <v>7</v>
      </c>
      <c r="C85" s="1">
        <v>1</v>
      </c>
      <c r="D85" s="1" t="str">
        <f t="shared" si="1"/>
        <v>LFUN55TTITQ647N</v>
      </c>
      <c r="E85" s="1" t="s">
        <v>186</v>
      </c>
      <c r="F85" s="1" t="s">
        <v>100</v>
      </c>
      <c r="G85" s="1" t="s">
        <v>101</v>
      </c>
      <c r="H85" s="1" t="s">
        <v>102</v>
      </c>
      <c r="I85" s="1" t="s">
        <v>187</v>
      </c>
      <c r="J85" s="1"/>
    </row>
    <row r="86" spans="1:10" ht="12.75" x14ac:dyDescent="0.2">
      <c r="A86" s="1" t="s">
        <v>6</v>
      </c>
      <c r="B86" s="1" t="s">
        <v>7</v>
      </c>
      <c r="C86" s="1">
        <v>1</v>
      </c>
      <c r="D86" s="1" t="str">
        <f t="shared" si="1"/>
        <v>LFUN64FEITQ647N</v>
      </c>
      <c r="E86" s="1" t="s">
        <v>188</v>
      </c>
      <c r="F86" s="1" t="s">
        <v>100</v>
      </c>
      <c r="G86" s="1" t="s">
        <v>101</v>
      </c>
      <c r="H86" s="1" t="s">
        <v>102</v>
      </c>
      <c r="I86" s="1" t="s">
        <v>189</v>
      </c>
      <c r="J86" s="1"/>
    </row>
    <row r="87" spans="1:10" ht="12.75" x14ac:dyDescent="0.2">
      <c r="A87" s="1" t="s">
        <v>6</v>
      </c>
      <c r="B87" s="1" t="s">
        <v>7</v>
      </c>
      <c r="C87" s="1">
        <v>1</v>
      </c>
      <c r="D87" s="1" t="str">
        <f t="shared" si="1"/>
        <v>LFUN64MAITQ647N</v>
      </c>
      <c r="E87" s="1" t="s">
        <v>190</v>
      </c>
      <c r="F87" s="1" t="s">
        <v>100</v>
      </c>
      <c r="G87" s="1" t="s">
        <v>101</v>
      </c>
      <c r="H87" s="1" t="s">
        <v>102</v>
      </c>
      <c r="I87" s="1" t="s">
        <v>191</v>
      </c>
      <c r="J87" s="1"/>
    </row>
    <row r="88" spans="1:10" ht="12.75" x14ac:dyDescent="0.2">
      <c r="A88" s="1" t="s">
        <v>6</v>
      </c>
      <c r="B88" s="1" t="s">
        <v>7</v>
      </c>
      <c r="C88" s="1">
        <v>1</v>
      </c>
      <c r="D88" s="1" t="str">
        <f t="shared" si="1"/>
        <v>LFUN64TTITQ647N</v>
      </c>
      <c r="E88" s="1" t="s">
        <v>192</v>
      </c>
      <c r="F88" s="1" t="s">
        <v>100</v>
      </c>
      <c r="G88" s="1" t="s">
        <v>101</v>
      </c>
      <c r="H88" s="1" t="s">
        <v>102</v>
      </c>
      <c r="I88" s="1" t="s">
        <v>193</v>
      </c>
      <c r="J88" s="1"/>
    </row>
    <row r="89" spans="1:10" ht="12.75" x14ac:dyDescent="0.2">
      <c r="A89" s="1" t="s">
        <v>6</v>
      </c>
      <c r="B89" s="1" t="s">
        <v>7</v>
      </c>
      <c r="C89" s="1">
        <v>1</v>
      </c>
      <c r="D89" s="1" t="str">
        <f t="shared" si="1"/>
        <v>LFUN74FEITQ647N</v>
      </c>
      <c r="E89" s="1" t="s">
        <v>194</v>
      </c>
      <c r="F89" s="1" t="s">
        <v>100</v>
      </c>
      <c r="G89" s="1" t="s">
        <v>101</v>
      </c>
      <c r="H89" s="1" t="s">
        <v>102</v>
      </c>
      <c r="I89" s="1" t="s">
        <v>195</v>
      </c>
      <c r="J89" s="1"/>
    </row>
    <row r="90" spans="1:10" ht="12.75" x14ac:dyDescent="0.2">
      <c r="A90" s="1" t="s">
        <v>6</v>
      </c>
      <c r="B90" s="1" t="s">
        <v>7</v>
      </c>
      <c r="C90" s="1">
        <v>1</v>
      </c>
      <c r="D90" s="1" t="str">
        <f t="shared" si="1"/>
        <v>LFUN74MAITQ647N</v>
      </c>
      <c r="E90" s="1" t="s">
        <v>196</v>
      </c>
      <c r="F90" s="1" t="s">
        <v>100</v>
      </c>
      <c r="G90" s="1" t="s">
        <v>101</v>
      </c>
      <c r="H90" s="1" t="s">
        <v>102</v>
      </c>
      <c r="I90" s="1" t="s">
        <v>197</v>
      </c>
      <c r="J90" s="1"/>
    </row>
    <row r="91" spans="1:10" ht="12.75" x14ac:dyDescent="0.2">
      <c r="A91" s="1" t="s">
        <v>6</v>
      </c>
      <c r="B91" s="1" t="s">
        <v>7</v>
      </c>
      <c r="C91" s="1">
        <v>1</v>
      </c>
      <c r="D91" s="1" t="str">
        <f t="shared" si="1"/>
        <v>LFUN74TTITQ647N</v>
      </c>
      <c r="E91" s="1" t="s">
        <v>198</v>
      </c>
      <c r="F91" s="1" t="s">
        <v>100</v>
      </c>
      <c r="G91" s="1" t="s">
        <v>101</v>
      </c>
      <c r="H91" s="1" t="s">
        <v>102</v>
      </c>
      <c r="I91" s="1" t="s">
        <v>199</v>
      </c>
      <c r="J91" s="1"/>
    </row>
    <row r="92" spans="1:10" ht="12.75" x14ac:dyDescent="0.2">
      <c r="A92" s="1" t="s">
        <v>6</v>
      </c>
      <c r="B92" s="1" t="s">
        <v>7</v>
      </c>
      <c r="C92" s="1">
        <v>1</v>
      </c>
      <c r="D92" s="1" t="str">
        <f t="shared" si="1"/>
        <v>LFUNTTFEITQ647N</v>
      </c>
      <c r="E92" s="1" t="s">
        <v>200</v>
      </c>
      <c r="F92" s="1" t="s">
        <v>100</v>
      </c>
      <c r="G92" s="1" t="s">
        <v>101</v>
      </c>
      <c r="H92" s="1" t="s">
        <v>102</v>
      </c>
      <c r="I92" s="1" t="s">
        <v>201</v>
      </c>
      <c r="J92" s="1"/>
    </row>
    <row r="93" spans="1:10" ht="12.75" x14ac:dyDescent="0.2">
      <c r="A93" s="1" t="s">
        <v>6</v>
      </c>
      <c r="B93" s="1" t="s">
        <v>7</v>
      </c>
      <c r="C93" s="1">
        <v>1</v>
      </c>
      <c r="D93" s="1" t="str">
        <f t="shared" si="1"/>
        <v>LFUNTTMAITQ647N</v>
      </c>
      <c r="E93" s="1" t="s">
        <v>202</v>
      </c>
      <c r="F93" s="1" t="s">
        <v>100</v>
      </c>
      <c r="G93" s="1" t="s">
        <v>101</v>
      </c>
      <c r="H93" s="1" t="s">
        <v>102</v>
      </c>
      <c r="I93" s="1" t="s">
        <v>203</v>
      </c>
      <c r="J93" s="1"/>
    </row>
    <row r="94" spans="1:10" ht="12.75" x14ac:dyDescent="0.2">
      <c r="A94" s="1" t="s">
        <v>6</v>
      </c>
      <c r="B94" s="1" t="s">
        <v>7</v>
      </c>
      <c r="C94" s="1">
        <v>1</v>
      </c>
      <c r="D94" s="1" t="str">
        <f t="shared" si="1"/>
        <v>LFUNTTTTITQ647N</v>
      </c>
      <c r="E94" s="1" t="s">
        <v>204</v>
      </c>
      <c r="F94" s="1" t="s">
        <v>100</v>
      </c>
      <c r="G94" s="1" t="s">
        <v>101</v>
      </c>
      <c r="H94" s="1" t="s">
        <v>102</v>
      </c>
      <c r="I94" s="1" t="s">
        <v>205</v>
      </c>
      <c r="J94" s="1"/>
    </row>
    <row r="95" spans="1:10" ht="12.75" x14ac:dyDescent="0.2">
      <c r="A95" s="1" t="s">
        <v>6</v>
      </c>
      <c r="B95" s="1" t="s">
        <v>7</v>
      </c>
      <c r="C95" s="1">
        <v>1</v>
      </c>
      <c r="D95" s="1" t="str">
        <f t="shared" si="1"/>
        <v>LREM24FEITQ156N</v>
      </c>
      <c r="E95" s="1" t="s">
        <v>206</v>
      </c>
      <c r="F95" s="1" t="s">
        <v>9</v>
      </c>
      <c r="G95" s="1" t="s">
        <v>101</v>
      </c>
      <c r="H95" s="1" t="s">
        <v>102</v>
      </c>
      <c r="I95" s="1" t="s">
        <v>207</v>
      </c>
      <c r="J95" s="1"/>
    </row>
    <row r="96" spans="1:10" ht="12.75" x14ac:dyDescent="0.2">
      <c r="A96" s="1" t="s">
        <v>6</v>
      </c>
      <c r="B96" s="1" t="s">
        <v>7</v>
      </c>
      <c r="C96" s="1">
        <v>1</v>
      </c>
      <c r="D96" s="1" t="str">
        <f t="shared" si="1"/>
        <v>LREM24MAITQ156N</v>
      </c>
      <c r="E96" s="1" t="s">
        <v>208</v>
      </c>
      <c r="F96" s="1" t="s">
        <v>9</v>
      </c>
      <c r="G96" s="1" t="s">
        <v>101</v>
      </c>
      <c r="H96" s="1" t="s">
        <v>102</v>
      </c>
      <c r="I96" s="1" t="s">
        <v>209</v>
      </c>
      <c r="J96" s="1"/>
    </row>
    <row r="97" spans="1:10" ht="12.75" x14ac:dyDescent="0.2">
      <c r="A97" s="1" t="s">
        <v>6</v>
      </c>
      <c r="B97" s="1" t="s">
        <v>7</v>
      </c>
      <c r="C97" s="1">
        <v>1</v>
      </c>
      <c r="D97" s="1" t="str">
        <f t="shared" si="1"/>
        <v>LREM24TTITQ156N</v>
      </c>
      <c r="E97" s="1" t="s">
        <v>210</v>
      </c>
      <c r="F97" s="1" t="s">
        <v>9</v>
      </c>
      <c r="G97" s="1" t="s">
        <v>101</v>
      </c>
      <c r="H97" s="1" t="s">
        <v>102</v>
      </c>
      <c r="I97" s="1" t="s">
        <v>211</v>
      </c>
      <c r="J97" s="1"/>
    </row>
    <row r="98" spans="1:10" ht="12.75" x14ac:dyDescent="0.2">
      <c r="A98" s="1" t="s">
        <v>6</v>
      </c>
      <c r="B98" s="1" t="s">
        <v>7</v>
      </c>
      <c r="C98" s="1">
        <v>1</v>
      </c>
      <c r="D98" s="1" t="str">
        <f t="shared" si="1"/>
        <v>LREM25FEITQ156N</v>
      </c>
      <c r="E98" s="1" t="s">
        <v>212</v>
      </c>
      <c r="F98" s="1" t="s">
        <v>9</v>
      </c>
      <c r="G98" s="1" t="s">
        <v>101</v>
      </c>
      <c r="H98" s="1" t="s">
        <v>102</v>
      </c>
      <c r="I98" s="1" t="s">
        <v>213</v>
      </c>
      <c r="J98" s="1"/>
    </row>
    <row r="99" spans="1:10" ht="12.75" x14ac:dyDescent="0.2">
      <c r="A99" s="1" t="s">
        <v>6</v>
      </c>
      <c r="B99" s="1" t="s">
        <v>7</v>
      </c>
      <c r="C99" s="1">
        <v>1</v>
      </c>
      <c r="D99" s="1" t="str">
        <f t="shared" si="1"/>
        <v>LREM25MAITQ156N</v>
      </c>
      <c r="E99" s="1" t="s">
        <v>214</v>
      </c>
      <c r="F99" s="1" t="s">
        <v>9</v>
      </c>
      <c r="G99" s="1" t="s">
        <v>101</v>
      </c>
      <c r="H99" s="1" t="s">
        <v>102</v>
      </c>
      <c r="I99" s="1" t="s">
        <v>215</v>
      </c>
      <c r="J99" s="1"/>
    </row>
    <row r="100" spans="1:10" ht="12.75" x14ac:dyDescent="0.2">
      <c r="A100" s="1" t="s">
        <v>6</v>
      </c>
      <c r="B100" s="1" t="s">
        <v>7</v>
      </c>
      <c r="C100" s="1">
        <v>1</v>
      </c>
      <c r="D100" s="1" t="str">
        <f t="shared" si="1"/>
        <v>LREM25TTITQ156N</v>
      </c>
      <c r="E100" s="1" t="s">
        <v>216</v>
      </c>
      <c r="F100" s="1" t="s">
        <v>9</v>
      </c>
      <c r="G100" s="1" t="s">
        <v>101</v>
      </c>
      <c r="H100" s="1" t="s">
        <v>102</v>
      </c>
      <c r="I100" s="1" t="s">
        <v>217</v>
      </c>
      <c r="J100" s="1"/>
    </row>
    <row r="101" spans="1:10" ht="12.75" x14ac:dyDescent="0.2">
      <c r="A101" s="1" t="s">
        <v>6</v>
      </c>
      <c r="B101" s="1" t="s">
        <v>7</v>
      </c>
      <c r="C101" s="1">
        <v>1</v>
      </c>
      <c r="D101" s="1" t="str">
        <f t="shared" si="1"/>
        <v>LREM55FEITQ156N</v>
      </c>
      <c r="E101" s="1" t="s">
        <v>218</v>
      </c>
      <c r="F101" s="1" t="s">
        <v>9</v>
      </c>
      <c r="G101" s="1" t="s">
        <v>101</v>
      </c>
      <c r="H101" s="1" t="s">
        <v>102</v>
      </c>
      <c r="I101" s="1" t="s">
        <v>219</v>
      </c>
      <c r="J101" s="1"/>
    </row>
    <row r="102" spans="1:10" ht="12.75" x14ac:dyDescent="0.2">
      <c r="A102" s="1" t="s">
        <v>6</v>
      </c>
      <c r="B102" s="1" t="s">
        <v>7</v>
      </c>
      <c r="C102" s="1">
        <v>1</v>
      </c>
      <c r="D102" s="1" t="str">
        <f t="shared" si="1"/>
        <v>LREM55MAITQ156N</v>
      </c>
      <c r="E102" s="1" t="s">
        <v>220</v>
      </c>
      <c r="F102" s="1" t="s">
        <v>9</v>
      </c>
      <c r="G102" s="1" t="s">
        <v>101</v>
      </c>
      <c r="H102" s="1" t="s">
        <v>102</v>
      </c>
      <c r="I102" s="1" t="s">
        <v>221</v>
      </c>
      <c r="J102" s="1"/>
    </row>
    <row r="103" spans="1:10" ht="12.75" x14ac:dyDescent="0.2">
      <c r="A103" s="1" t="s">
        <v>6</v>
      </c>
      <c r="B103" s="1" t="s">
        <v>7</v>
      </c>
      <c r="C103" s="1">
        <v>1</v>
      </c>
      <c r="D103" s="1" t="str">
        <f t="shared" si="1"/>
        <v>LREM55TTITQ156N</v>
      </c>
      <c r="E103" s="1" t="s">
        <v>222</v>
      </c>
      <c r="F103" s="1" t="s">
        <v>9</v>
      </c>
      <c r="G103" s="1" t="s">
        <v>101</v>
      </c>
      <c r="H103" s="1" t="s">
        <v>102</v>
      </c>
      <c r="I103" s="1" t="s">
        <v>223</v>
      </c>
      <c r="J103" s="1"/>
    </row>
    <row r="104" spans="1:10" ht="12.75" x14ac:dyDescent="0.2">
      <c r="A104" s="1" t="s">
        <v>6</v>
      </c>
      <c r="B104" s="1" t="s">
        <v>7</v>
      </c>
      <c r="C104" s="1">
        <v>1</v>
      </c>
      <c r="D104" s="1" t="str">
        <f t="shared" si="1"/>
        <v>LREM64FEITQ156N</v>
      </c>
      <c r="E104" s="1" t="s">
        <v>224</v>
      </c>
      <c r="F104" s="1" t="s">
        <v>9</v>
      </c>
      <c r="G104" s="1" t="s">
        <v>101</v>
      </c>
      <c r="H104" s="1" t="s">
        <v>102</v>
      </c>
      <c r="I104" s="1" t="s">
        <v>225</v>
      </c>
      <c r="J104" s="1"/>
    </row>
    <row r="105" spans="1:10" ht="12.75" x14ac:dyDescent="0.2">
      <c r="A105" s="1" t="s">
        <v>6</v>
      </c>
      <c r="B105" s="1" t="s">
        <v>7</v>
      </c>
      <c r="C105" s="1">
        <v>1</v>
      </c>
      <c r="D105" s="1" t="str">
        <f t="shared" si="1"/>
        <v>LREM64MAITQ156N</v>
      </c>
      <c r="E105" s="1" t="s">
        <v>226</v>
      </c>
      <c r="F105" s="1" t="s">
        <v>9</v>
      </c>
      <c r="G105" s="1" t="s">
        <v>101</v>
      </c>
      <c r="H105" s="1" t="s">
        <v>102</v>
      </c>
      <c r="I105" s="1" t="s">
        <v>227</v>
      </c>
      <c r="J105" s="1"/>
    </row>
    <row r="106" spans="1:10" ht="12.75" x14ac:dyDescent="0.2">
      <c r="A106" s="1" t="s">
        <v>6</v>
      </c>
      <c r="B106" s="1" t="s">
        <v>7</v>
      </c>
      <c r="C106" s="1">
        <v>1</v>
      </c>
      <c r="D106" s="1" t="str">
        <f t="shared" si="1"/>
        <v>LREM64TTITQ156N</v>
      </c>
      <c r="E106" s="1" t="s">
        <v>228</v>
      </c>
      <c r="F106" s="1" t="s">
        <v>9</v>
      </c>
      <c r="G106" s="1" t="s">
        <v>101</v>
      </c>
      <c r="H106" s="1" t="s">
        <v>102</v>
      </c>
      <c r="I106" s="1" t="s">
        <v>229</v>
      </c>
      <c r="J106" s="1"/>
    </row>
    <row r="107" spans="1:10" ht="12.75" x14ac:dyDescent="0.2">
      <c r="A107" s="1" t="s">
        <v>6</v>
      </c>
      <c r="B107" s="1" t="s">
        <v>7</v>
      </c>
      <c r="C107" s="1">
        <v>1</v>
      </c>
      <c r="D107" s="1" t="str">
        <f t="shared" si="1"/>
        <v>LREM74FEITQ156N</v>
      </c>
      <c r="E107" s="1" t="s">
        <v>230</v>
      </c>
      <c r="F107" s="1" t="s">
        <v>9</v>
      </c>
      <c r="G107" s="1" t="s">
        <v>101</v>
      </c>
      <c r="H107" s="1" t="s">
        <v>102</v>
      </c>
      <c r="I107" s="1" t="s">
        <v>231</v>
      </c>
      <c r="J107" s="1"/>
    </row>
    <row r="108" spans="1:10" ht="12.75" x14ac:dyDescent="0.2">
      <c r="A108" s="1" t="s">
        <v>6</v>
      </c>
      <c r="B108" s="1" t="s">
        <v>7</v>
      </c>
      <c r="C108" s="1">
        <v>1</v>
      </c>
      <c r="D108" s="1" t="str">
        <f t="shared" si="1"/>
        <v>LREM74MAITQ156N</v>
      </c>
      <c r="E108" s="1" t="s">
        <v>232</v>
      </c>
      <c r="F108" s="1" t="s">
        <v>9</v>
      </c>
      <c r="G108" s="1" t="s">
        <v>101</v>
      </c>
      <c r="H108" s="1" t="s">
        <v>102</v>
      </c>
      <c r="I108" s="1" t="s">
        <v>233</v>
      </c>
      <c r="J108" s="1"/>
    </row>
    <row r="109" spans="1:10" ht="12.75" x14ac:dyDescent="0.2">
      <c r="A109" s="1" t="s">
        <v>6</v>
      </c>
      <c r="B109" s="1" t="s">
        <v>7</v>
      </c>
      <c r="C109" s="1">
        <v>1</v>
      </c>
      <c r="D109" s="1" t="str">
        <f t="shared" si="1"/>
        <v>LREM74TTITQ156N</v>
      </c>
      <c r="E109" s="1" t="s">
        <v>234</v>
      </c>
      <c r="F109" s="1" t="s">
        <v>9</v>
      </c>
      <c r="G109" s="1" t="s">
        <v>101</v>
      </c>
      <c r="H109" s="1" t="s">
        <v>102</v>
      </c>
      <c r="I109" s="1" t="s">
        <v>235</v>
      </c>
      <c r="J109" s="1"/>
    </row>
    <row r="110" spans="1:10" ht="12.75" x14ac:dyDescent="0.2">
      <c r="A110" s="1" t="s">
        <v>6</v>
      </c>
      <c r="B110" s="1" t="s">
        <v>7</v>
      </c>
      <c r="C110" s="1">
        <v>1</v>
      </c>
      <c r="D110" s="1" t="str">
        <f t="shared" si="1"/>
        <v>LREMTTFEITQ156N</v>
      </c>
      <c r="E110" s="1" t="s">
        <v>236</v>
      </c>
      <c r="F110" s="1" t="s">
        <v>9</v>
      </c>
      <c r="G110" s="1" t="s">
        <v>101</v>
      </c>
      <c r="H110" s="1" t="s">
        <v>102</v>
      </c>
      <c r="I110" s="1" t="s">
        <v>237</v>
      </c>
      <c r="J110" s="1"/>
    </row>
    <row r="111" spans="1:10" ht="12.75" x14ac:dyDescent="0.2">
      <c r="A111" s="1" t="s">
        <v>6</v>
      </c>
      <c r="B111" s="1" t="s">
        <v>7</v>
      </c>
      <c r="C111" s="1">
        <v>1</v>
      </c>
      <c r="D111" s="1" t="str">
        <f t="shared" si="1"/>
        <v>LREMTTMAITQ156N</v>
      </c>
      <c r="E111" s="1" t="s">
        <v>238</v>
      </c>
      <c r="F111" s="1" t="s">
        <v>9</v>
      </c>
      <c r="G111" s="1" t="s">
        <v>101</v>
      </c>
      <c r="H111" s="1" t="s">
        <v>102</v>
      </c>
      <c r="I111" s="1" t="s">
        <v>239</v>
      </c>
      <c r="J111" s="1"/>
    </row>
    <row r="112" spans="1:10" ht="12.75" x14ac:dyDescent="0.2">
      <c r="A112" s="1" t="s">
        <v>6</v>
      </c>
      <c r="B112" s="1" t="s">
        <v>7</v>
      </c>
      <c r="C112" s="1">
        <v>1</v>
      </c>
      <c r="D112" s="1" t="str">
        <f t="shared" si="1"/>
        <v>LREMTTTTITQ156N</v>
      </c>
      <c r="E112" s="1" t="s">
        <v>240</v>
      </c>
      <c r="F112" s="1" t="s">
        <v>9</v>
      </c>
      <c r="G112" s="1" t="s">
        <v>101</v>
      </c>
      <c r="H112" s="1" t="s">
        <v>102</v>
      </c>
      <c r="I112" s="1" t="s">
        <v>241</v>
      </c>
      <c r="J112" s="1"/>
    </row>
    <row r="113" spans="1:10" ht="12.75" x14ac:dyDescent="0.2">
      <c r="A113" s="1" t="s">
        <v>6</v>
      </c>
      <c r="B113" s="1" t="s">
        <v>7</v>
      </c>
      <c r="C113" s="1">
        <v>1</v>
      </c>
      <c r="D113" s="1" t="str">
        <f t="shared" si="1"/>
        <v>LREPTTFEITQ156N</v>
      </c>
      <c r="E113" s="1" t="s">
        <v>242</v>
      </c>
      <c r="F113" s="1" t="s">
        <v>9</v>
      </c>
      <c r="G113" s="1" t="s">
        <v>101</v>
      </c>
      <c r="H113" s="1" t="s">
        <v>102</v>
      </c>
      <c r="I113" s="1" t="s">
        <v>243</v>
      </c>
      <c r="J113" s="1"/>
    </row>
    <row r="114" spans="1:10" ht="12.75" x14ac:dyDescent="0.2">
      <c r="A114" s="1" t="s">
        <v>6</v>
      </c>
      <c r="B114" s="1" t="s">
        <v>7</v>
      </c>
      <c r="C114" s="1">
        <v>1</v>
      </c>
      <c r="D114" s="1" t="str">
        <f t="shared" si="1"/>
        <v>LREPTTMAITQ156N</v>
      </c>
      <c r="E114" s="1" t="s">
        <v>244</v>
      </c>
      <c r="F114" s="1" t="s">
        <v>9</v>
      </c>
      <c r="G114" s="1" t="s">
        <v>101</v>
      </c>
      <c r="H114" s="1" t="s">
        <v>102</v>
      </c>
      <c r="I114" s="1" t="s">
        <v>245</v>
      </c>
      <c r="J114" s="1"/>
    </row>
    <row r="115" spans="1:10" ht="12.75" x14ac:dyDescent="0.2">
      <c r="A115" s="1" t="s">
        <v>6</v>
      </c>
      <c r="B115" s="1" t="s">
        <v>7</v>
      </c>
      <c r="C115" s="1">
        <v>1</v>
      </c>
      <c r="D115" s="1" t="str">
        <f t="shared" si="1"/>
        <v>LREPTTTTITQ156N</v>
      </c>
      <c r="E115" s="1" t="s">
        <v>246</v>
      </c>
      <c r="F115" s="1" t="s">
        <v>9</v>
      </c>
      <c r="G115" s="1" t="s">
        <v>101</v>
      </c>
      <c r="H115" s="1" t="s">
        <v>102</v>
      </c>
      <c r="I115" s="1" t="s">
        <v>247</v>
      </c>
      <c r="J115" s="1"/>
    </row>
    <row r="116" spans="1:10" ht="12.75" x14ac:dyDescent="0.2">
      <c r="A116" s="1" t="s">
        <v>6</v>
      </c>
      <c r="B116" s="1" t="s">
        <v>7</v>
      </c>
      <c r="C116" s="1">
        <v>1</v>
      </c>
      <c r="D116" s="1" t="str">
        <f t="shared" si="1"/>
        <v>LRHU24FEITQ156N</v>
      </c>
      <c r="E116" s="1" t="s">
        <v>248</v>
      </c>
      <c r="F116" s="1" t="s">
        <v>9</v>
      </c>
      <c r="G116" s="1" t="s">
        <v>101</v>
      </c>
      <c r="H116" s="1" t="s">
        <v>102</v>
      </c>
      <c r="I116" s="1" t="s">
        <v>249</v>
      </c>
      <c r="J116" s="1"/>
    </row>
    <row r="117" spans="1:10" ht="12.75" x14ac:dyDescent="0.2">
      <c r="A117" s="1" t="s">
        <v>6</v>
      </c>
      <c r="B117" s="1" t="s">
        <v>7</v>
      </c>
      <c r="C117" s="1">
        <v>1</v>
      </c>
      <c r="D117" s="1" t="str">
        <f t="shared" si="1"/>
        <v>LRHU24MAITQ156N</v>
      </c>
      <c r="E117" s="1" t="s">
        <v>250</v>
      </c>
      <c r="F117" s="1" t="s">
        <v>9</v>
      </c>
      <c r="G117" s="1" t="s">
        <v>101</v>
      </c>
      <c r="H117" s="1" t="s">
        <v>102</v>
      </c>
      <c r="I117" s="1" t="s">
        <v>251</v>
      </c>
      <c r="J117" s="1"/>
    </row>
    <row r="118" spans="1:10" ht="12.75" x14ac:dyDescent="0.2">
      <c r="A118" s="1" t="s">
        <v>6</v>
      </c>
      <c r="B118" s="1" t="s">
        <v>7</v>
      </c>
      <c r="C118" s="1">
        <v>1</v>
      </c>
      <c r="D118" s="1" t="str">
        <f t="shared" si="1"/>
        <v>LRHU24TTITQ156N</v>
      </c>
      <c r="E118" s="1" t="s">
        <v>252</v>
      </c>
      <c r="F118" s="1" t="s">
        <v>9</v>
      </c>
      <c r="G118" s="1" t="s">
        <v>101</v>
      </c>
      <c r="H118" s="1" t="s">
        <v>102</v>
      </c>
      <c r="I118" s="1" t="s">
        <v>253</v>
      </c>
      <c r="J118" s="1"/>
    </row>
    <row r="119" spans="1:10" ht="12.75" x14ac:dyDescent="0.2">
      <c r="A119" s="1" t="s">
        <v>6</v>
      </c>
      <c r="B119" s="1" t="s">
        <v>7</v>
      </c>
      <c r="C119" s="1">
        <v>1</v>
      </c>
      <c r="D119" s="1" t="str">
        <f t="shared" si="1"/>
        <v>LRHUADFEITQ156N</v>
      </c>
      <c r="E119" s="1" t="s">
        <v>254</v>
      </c>
      <c r="F119" s="1" t="s">
        <v>9</v>
      </c>
      <c r="G119" s="1" t="s">
        <v>101</v>
      </c>
      <c r="H119" s="1" t="s">
        <v>102</v>
      </c>
      <c r="I119" s="1" t="s">
        <v>255</v>
      </c>
      <c r="J119" s="1"/>
    </row>
    <row r="120" spans="1:10" ht="12.75" x14ac:dyDescent="0.2">
      <c r="A120" s="1" t="s">
        <v>6</v>
      </c>
      <c r="B120" s="1" t="s">
        <v>7</v>
      </c>
      <c r="C120" s="1">
        <v>1</v>
      </c>
      <c r="D120" s="1" t="str">
        <f t="shared" si="1"/>
        <v>LRHUADMAITQ156N</v>
      </c>
      <c r="E120" s="1" t="s">
        <v>256</v>
      </c>
      <c r="F120" s="1" t="s">
        <v>9</v>
      </c>
      <c r="G120" s="1" t="s">
        <v>101</v>
      </c>
      <c r="H120" s="1" t="s">
        <v>102</v>
      </c>
      <c r="I120" s="1" t="s">
        <v>257</v>
      </c>
      <c r="J120" s="1"/>
    </row>
    <row r="121" spans="1:10" ht="12.75" x14ac:dyDescent="0.2">
      <c r="A121" s="1" t="s">
        <v>6</v>
      </c>
      <c r="B121" s="1" t="s">
        <v>7</v>
      </c>
      <c r="C121" s="1">
        <v>1</v>
      </c>
      <c r="D121" s="1" t="str">
        <f t="shared" si="1"/>
        <v>LRHUADTTITQ156N</v>
      </c>
      <c r="E121" s="1" t="s">
        <v>258</v>
      </c>
      <c r="F121" s="1" t="s">
        <v>9</v>
      </c>
      <c r="G121" s="1" t="s">
        <v>101</v>
      </c>
      <c r="H121" s="1" t="s">
        <v>102</v>
      </c>
      <c r="I121" s="1" t="s">
        <v>259</v>
      </c>
      <c r="J121" s="1"/>
    </row>
    <row r="122" spans="1:10" ht="12.75" x14ac:dyDescent="0.2">
      <c r="A122" s="1" t="s">
        <v>6</v>
      </c>
      <c r="B122" s="1" t="s">
        <v>7</v>
      </c>
      <c r="C122" s="1">
        <v>1</v>
      </c>
      <c r="D122" s="1" t="str">
        <f t="shared" si="1"/>
        <v>LRHUTTFEITQ156N</v>
      </c>
      <c r="E122" s="1" t="s">
        <v>260</v>
      </c>
      <c r="F122" s="1" t="s">
        <v>9</v>
      </c>
      <c r="G122" s="1" t="s">
        <v>101</v>
      </c>
      <c r="H122" s="1" t="s">
        <v>102</v>
      </c>
      <c r="I122" s="1" t="s">
        <v>261</v>
      </c>
      <c r="J122" s="1"/>
    </row>
    <row r="123" spans="1:10" ht="12.75" x14ac:dyDescent="0.2">
      <c r="A123" s="1" t="s">
        <v>6</v>
      </c>
      <c r="B123" s="1" t="s">
        <v>7</v>
      </c>
      <c r="C123" s="1">
        <v>1</v>
      </c>
      <c r="D123" s="1" t="str">
        <f t="shared" si="1"/>
        <v>LRHUTTMAITQ156N</v>
      </c>
      <c r="E123" s="1" t="s">
        <v>262</v>
      </c>
      <c r="F123" s="1" t="s">
        <v>9</v>
      </c>
      <c r="G123" s="1" t="s">
        <v>101</v>
      </c>
      <c r="H123" s="1" t="s">
        <v>102</v>
      </c>
      <c r="I123" s="1" t="s">
        <v>263</v>
      </c>
      <c r="J123" s="1"/>
    </row>
    <row r="124" spans="1:10" ht="12.75" x14ac:dyDescent="0.2">
      <c r="A124" s="1" t="s">
        <v>6</v>
      </c>
      <c r="B124" s="1" t="s">
        <v>7</v>
      </c>
      <c r="C124" s="1">
        <v>1</v>
      </c>
      <c r="D124" s="1" t="str">
        <f t="shared" si="1"/>
        <v>LRHUTTTTITQ156N</v>
      </c>
      <c r="E124" s="1" t="s">
        <v>264</v>
      </c>
      <c r="F124" s="1" t="s">
        <v>9</v>
      </c>
      <c r="G124" s="1" t="s">
        <v>101</v>
      </c>
      <c r="H124" s="1" t="s">
        <v>102</v>
      </c>
      <c r="I124" s="1" t="s">
        <v>265</v>
      </c>
      <c r="J124" s="1"/>
    </row>
    <row r="125" spans="1:10" ht="12.75" x14ac:dyDescent="0.2">
      <c r="A125" s="1" t="s">
        <v>6</v>
      </c>
      <c r="B125" s="1" t="s">
        <v>7</v>
      </c>
      <c r="C125" s="1">
        <v>1</v>
      </c>
      <c r="D125" s="1" t="str">
        <f t="shared" si="1"/>
        <v>LRUN24FEITQ156N</v>
      </c>
      <c r="E125" s="1" t="s">
        <v>266</v>
      </c>
      <c r="F125" s="1" t="s">
        <v>9</v>
      </c>
      <c r="G125" s="1" t="s">
        <v>101</v>
      </c>
      <c r="H125" s="1" t="s">
        <v>102</v>
      </c>
      <c r="I125" s="1" t="s">
        <v>267</v>
      </c>
      <c r="J125" s="1"/>
    </row>
    <row r="126" spans="1:10" ht="12.75" x14ac:dyDescent="0.2">
      <c r="A126" s="1" t="s">
        <v>6</v>
      </c>
      <c r="B126" s="1" t="s">
        <v>7</v>
      </c>
      <c r="C126" s="1">
        <v>1</v>
      </c>
      <c r="D126" s="1" t="str">
        <f t="shared" si="1"/>
        <v>LRUN24MAITQ156N</v>
      </c>
      <c r="E126" s="1" t="s">
        <v>268</v>
      </c>
      <c r="F126" s="1" t="s">
        <v>9</v>
      </c>
      <c r="G126" s="1" t="s">
        <v>101</v>
      </c>
      <c r="H126" s="1" t="s">
        <v>102</v>
      </c>
      <c r="I126" s="1" t="s">
        <v>269</v>
      </c>
      <c r="J126" s="1"/>
    </row>
    <row r="127" spans="1:10" ht="12.75" x14ac:dyDescent="0.2">
      <c r="A127" s="1" t="s">
        <v>6</v>
      </c>
      <c r="B127" s="1" t="s">
        <v>7</v>
      </c>
      <c r="C127" s="1">
        <v>1</v>
      </c>
      <c r="D127" s="1" t="str">
        <f t="shared" si="1"/>
        <v>LRUN24TTITQ156N</v>
      </c>
      <c r="E127" s="1" t="s">
        <v>270</v>
      </c>
      <c r="F127" s="1" t="s">
        <v>9</v>
      </c>
      <c r="G127" s="1" t="s">
        <v>101</v>
      </c>
      <c r="H127" s="1" t="s">
        <v>102</v>
      </c>
      <c r="I127" s="1" t="s">
        <v>271</v>
      </c>
      <c r="J127" s="1"/>
    </row>
    <row r="128" spans="1:10" ht="12.75" x14ac:dyDescent="0.2">
      <c r="A128" s="1" t="s">
        <v>6</v>
      </c>
      <c r="B128" s="1" t="s">
        <v>7</v>
      </c>
      <c r="C128" s="1">
        <v>1</v>
      </c>
      <c r="D128" s="1" t="str">
        <f t="shared" si="1"/>
        <v>LRUN25FEITQ156N</v>
      </c>
      <c r="E128" s="1" t="s">
        <v>272</v>
      </c>
      <c r="F128" s="1" t="s">
        <v>9</v>
      </c>
      <c r="G128" s="1" t="s">
        <v>101</v>
      </c>
      <c r="H128" s="1" t="s">
        <v>102</v>
      </c>
      <c r="I128" s="1" t="s">
        <v>273</v>
      </c>
      <c r="J128" s="1"/>
    </row>
    <row r="129" spans="1:10" ht="12.75" x14ac:dyDescent="0.2">
      <c r="A129" s="1" t="s">
        <v>6</v>
      </c>
      <c r="B129" s="1" t="s">
        <v>7</v>
      </c>
      <c r="C129" s="1">
        <v>1</v>
      </c>
      <c r="D129" s="1" t="str">
        <f t="shared" si="1"/>
        <v>LRUN25MAITQ156N</v>
      </c>
      <c r="E129" s="1" t="s">
        <v>274</v>
      </c>
      <c r="F129" s="1" t="s">
        <v>9</v>
      </c>
      <c r="G129" s="1" t="s">
        <v>101</v>
      </c>
      <c r="H129" s="1" t="s">
        <v>102</v>
      </c>
      <c r="I129" s="1" t="s">
        <v>275</v>
      </c>
      <c r="J129" s="1"/>
    </row>
    <row r="130" spans="1:10" ht="12.75" x14ac:dyDescent="0.2">
      <c r="A130" s="1" t="s">
        <v>6</v>
      </c>
      <c r="B130" s="1" t="s">
        <v>7</v>
      </c>
      <c r="C130" s="1">
        <v>1</v>
      </c>
      <c r="D130" s="1" t="str">
        <f t="shared" si="1"/>
        <v>LRUN25TTITQ156N</v>
      </c>
      <c r="E130" s="1" t="s">
        <v>276</v>
      </c>
      <c r="F130" s="1" t="s">
        <v>9</v>
      </c>
      <c r="G130" s="1" t="s">
        <v>101</v>
      </c>
      <c r="H130" s="1" t="s">
        <v>102</v>
      </c>
      <c r="I130" s="1" t="s">
        <v>277</v>
      </c>
      <c r="J130" s="1"/>
    </row>
    <row r="131" spans="1:10" ht="12.75" x14ac:dyDescent="0.2">
      <c r="A131" s="1" t="s">
        <v>6</v>
      </c>
      <c r="B131" s="1" t="s">
        <v>7</v>
      </c>
      <c r="C131" s="1">
        <v>1</v>
      </c>
      <c r="D131" s="1" t="str">
        <f t="shared" ref="D131:D194" si="2">E131</f>
        <v>LRUN55FEITQ156N</v>
      </c>
      <c r="E131" s="1" t="s">
        <v>278</v>
      </c>
      <c r="F131" s="1" t="s">
        <v>9</v>
      </c>
      <c r="G131" s="1" t="s">
        <v>101</v>
      </c>
      <c r="H131" s="1" t="s">
        <v>102</v>
      </c>
      <c r="I131" s="1" t="s">
        <v>279</v>
      </c>
      <c r="J131" s="1"/>
    </row>
    <row r="132" spans="1:10" ht="12.75" x14ac:dyDescent="0.2">
      <c r="A132" s="1" t="s">
        <v>6</v>
      </c>
      <c r="B132" s="1" t="s">
        <v>7</v>
      </c>
      <c r="C132" s="1">
        <v>1</v>
      </c>
      <c r="D132" s="1" t="str">
        <f t="shared" si="2"/>
        <v>LRUN55MAITQ156N</v>
      </c>
      <c r="E132" s="1" t="s">
        <v>280</v>
      </c>
      <c r="F132" s="1" t="s">
        <v>9</v>
      </c>
      <c r="G132" s="1" t="s">
        <v>101</v>
      </c>
      <c r="H132" s="1" t="s">
        <v>102</v>
      </c>
      <c r="I132" s="1" t="s">
        <v>281</v>
      </c>
      <c r="J132" s="1"/>
    </row>
    <row r="133" spans="1:10" ht="12.75" x14ac:dyDescent="0.2">
      <c r="A133" s="1" t="s">
        <v>6</v>
      </c>
      <c r="B133" s="1" t="s">
        <v>7</v>
      </c>
      <c r="C133" s="1">
        <v>1</v>
      </c>
      <c r="D133" s="1" t="str">
        <f t="shared" si="2"/>
        <v>LRUN55TTITQ156N</v>
      </c>
      <c r="E133" s="1" t="s">
        <v>282</v>
      </c>
      <c r="F133" s="1" t="s">
        <v>9</v>
      </c>
      <c r="G133" s="1" t="s">
        <v>101</v>
      </c>
      <c r="H133" s="1" t="s">
        <v>102</v>
      </c>
      <c r="I133" s="1" t="s">
        <v>283</v>
      </c>
      <c r="J133" s="1"/>
    </row>
    <row r="134" spans="1:10" ht="12.75" x14ac:dyDescent="0.2">
      <c r="A134" s="1" t="s">
        <v>6</v>
      </c>
      <c r="B134" s="1" t="s">
        <v>7</v>
      </c>
      <c r="C134" s="1">
        <v>1</v>
      </c>
      <c r="D134" s="1" t="str">
        <f t="shared" si="2"/>
        <v>LRUN64FEITQ156N</v>
      </c>
      <c r="E134" s="1" t="s">
        <v>284</v>
      </c>
      <c r="F134" s="1" t="s">
        <v>9</v>
      </c>
      <c r="G134" s="1" t="s">
        <v>101</v>
      </c>
      <c r="H134" s="1" t="s">
        <v>102</v>
      </c>
      <c r="I134" s="1" t="s">
        <v>285</v>
      </c>
      <c r="J134" s="1"/>
    </row>
    <row r="135" spans="1:10" ht="12.75" x14ac:dyDescent="0.2">
      <c r="A135" s="1" t="s">
        <v>6</v>
      </c>
      <c r="B135" s="1" t="s">
        <v>7</v>
      </c>
      <c r="C135" s="1">
        <v>1</v>
      </c>
      <c r="D135" s="1" t="str">
        <f t="shared" si="2"/>
        <v>LRUN64MAITQ156N</v>
      </c>
      <c r="E135" s="1" t="s">
        <v>286</v>
      </c>
      <c r="F135" s="1" t="s">
        <v>9</v>
      </c>
      <c r="G135" s="1" t="s">
        <v>101</v>
      </c>
      <c r="H135" s="1" t="s">
        <v>102</v>
      </c>
      <c r="I135" s="1" t="s">
        <v>287</v>
      </c>
      <c r="J135" s="1"/>
    </row>
    <row r="136" spans="1:10" ht="12.75" x14ac:dyDescent="0.2">
      <c r="A136" s="1" t="s">
        <v>6</v>
      </c>
      <c r="B136" s="1" t="s">
        <v>7</v>
      </c>
      <c r="C136" s="1">
        <v>1</v>
      </c>
      <c r="D136" s="1" t="str">
        <f t="shared" si="2"/>
        <v>LRUN64TTITQ156N</v>
      </c>
      <c r="E136" s="1" t="s">
        <v>288</v>
      </c>
      <c r="F136" s="1" t="s">
        <v>9</v>
      </c>
      <c r="G136" s="1" t="s">
        <v>101</v>
      </c>
      <c r="H136" s="1" t="s">
        <v>102</v>
      </c>
      <c r="I136" s="1" t="s">
        <v>289</v>
      </c>
      <c r="J136" s="1"/>
    </row>
    <row r="137" spans="1:10" ht="12.75" x14ac:dyDescent="0.2">
      <c r="A137" s="1" t="s">
        <v>6</v>
      </c>
      <c r="B137" s="1" t="s">
        <v>7</v>
      </c>
      <c r="C137" s="1">
        <v>1</v>
      </c>
      <c r="D137" s="1" t="str">
        <f t="shared" si="2"/>
        <v>LRUN74FEITQ156N</v>
      </c>
      <c r="E137" s="1" t="s">
        <v>290</v>
      </c>
      <c r="F137" s="1" t="s">
        <v>9</v>
      </c>
      <c r="G137" s="1" t="s">
        <v>101</v>
      </c>
      <c r="H137" s="1" t="s">
        <v>102</v>
      </c>
      <c r="I137" s="1" t="s">
        <v>291</v>
      </c>
      <c r="J137" s="1"/>
    </row>
    <row r="138" spans="1:10" ht="12.75" x14ac:dyDescent="0.2">
      <c r="A138" s="1" t="s">
        <v>6</v>
      </c>
      <c r="B138" s="1" t="s">
        <v>7</v>
      </c>
      <c r="C138" s="1">
        <v>1</v>
      </c>
      <c r="D138" s="1" t="str">
        <f t="shared" si="2"/>
        <v>LRUN74MAITQ156N</v>
      </c>
      <c r="E138" s="1" t="s">
        <v>292</v>
      </c>
      <c r="F138" s="1" t="s">
        <v>9</v>
      </c>
      <c r="G138" s="1" t="s">
        <v>101</v>
      </c>
      <c r="H138" s="1" t="s">
        <v>102</v>
      </c>
      <c r="I138" s="1" t="s">
        <v>293</v>
      </c>
      <c r="J138" s="1"/>
    </row>
    <row r="139" spans="1:10" ht="12.75" x14ac:dyDescent="0.2">
      <c r="A139" s="1" t="s">
        <v>6</v>
      </c>
      <c r="B139" s="1" t="s">
        <v>7</v>
      </c>
      <c r="C139" s="1">
        <v>1</v>
      </c>
      <c r="D139" s="1" t="str">
        <f t="shared" si="2"/>
        <v>LRUN74TTITQ156N</v>
      </c>
      <c r="E139" s="1" t="s">
        <v>294</v>
      </c>
      <c r="F139" s="1" t="s">
        <v>9</v>
      </c>
      <c r="G139" s="1" t="s">
        <v>101</v>
      </c>
      <c r="H139" s="1" t="s">
        <v>102</v>
      </c>
      <c r="I139" s="1" t="s">
        <v>295</v>
      </c>
      <c r="J139" s="1"/>
    </row>
    <row r="140" spans="1:10" ht="12.75" x14ac:dyDescent="0.2">
      <c r="A140" s="1" t="s">
        <v>6</v>
      </c>
      <c r="B140" s="1" t="s">
        <v>7</v>
      </c>
      <c r="C140" s="1">
        <v>1</v>
      </c>
      <c r="D140" s="1" t="str">
        <f t="shared" si="2"/>
        <v>LRUNTTFEITQ156N</v>
      </c>
      <c r="E140" s="1" t="s">
        <v>296</v>
      </c>
      <c r="F140" s="1" t="s">
        <v>9</v>
      </c>
      <c r="G140" s="1" t="s">
        <v>101</v>
      </c>
      <c r="H140" s="1" t="s">
        <v>102</v>
      </c>
      <c r="I140" s="1" t="s">
        <v>297</v>
      </c>
      <c r="J140" s="1"/>
    </row>
    <row r="141" spans="1:10" ht="12.75" x14ac:dyDescent="0.2">
      <c r="A141" s="1" t="s">
        <v>6</v>
      </c>
      <c r="B141" s="1" t="s">
        <v>7</v>
      </c>
      <c r="C141" s="1">
        <v>1</v>
      </c>
      <c r="D141" s="1" t="str">
        <f t="shared" si="2"/>
        <v>LRUNTTMAITQ156N</v>
      </c>
      <c r="E141" s="1" t="s">
        <v>298</v>
      </c>
      <c r="F141" s="1" t="s">
        <v>9</v>
      </c>
      <c r="G141" s="1" t="s">
        <v>101</v>
      </c>
      <c r="H141" s="1" t="s">
        <v>102</v>
      </c>
      <c r="I141" s="1" t="s">
        <v>299</v>
      </c>
      <c r="J141" s="1"/>
    </row>
    <row r="142" spans="1:10" ht="12.75" x14ac:dyDescent="0.2">
      <c r="A142" s="1" t="s">
        <v>6</v>
      </c>
      <c r="B142" s="1" t="s">
        <v>7</v>
      </c>
      <c r="C142" s="1">
        <v>1</v>
      </c>
      <c r="D142" s="1" t="str">
        <f t="shared" si="2"/>
        <v>LRUNTTTTITQ156N</v>
      </c>
      <c r="E142" s="1" t="s">
        <v>300</v>
      </c>
      <c r="F142" s="1" t="s">
        <v>9</v>
      </c>
      <c r="G142" s="1" t="s">
        <v>101</v>
      </c>
      <c r="H142" s="1" t="s">
        <v>102</v>
      </c>
      <c r="I142" s="1" t="s">
        <v>301</v>
      </c>
      <c r="J142" s="1"/>
    </row>
    <row r="143" spans="1:10" ht="12.75" x14ac:dyDescent="0.2">
      <c r="A143" s="1" t="s">
        <v>6</v>
      </c>
      <c r="B143" s="1" t="s">
        <v>7</v>
      </c>
      <c r="C143" s="1">
        <v>1</v>
      </c>
      <c r="D143" s="1" t="str">
        <f t="shared" si="2"/>
        <v>LRUPTTFEITQ156N</v>
      </c>
      <c r="E143" s="1" t="s">
        <v>302</v>
      </c>
      <c r="F143" s="1" t="s">
        <v>9</v>
      </c>
      <c r="G143" s="1" t="s">
        <v>101</v>
      </c>
      <c r="H143" s="1" t="s">
        <v>102</v>
      </c>
      <c r="I143" s="1" t="s">
        <v>303</v>
      </c>
      <c r="J143" s="1"/>
    </row>
    <row r="144" spans="1:10" ht="12.75" x14ac:dyDescent="0.2">
      <c r="A144" s="1" t="s">
        <v>6</v>
      </c>
      <c r="B144" s="1" t="s">
        <v>7</v>
      </c>
      <c r="C144" s="1">
        <v>1</v>
      </c>
      <c r="D144" s="1" t="str">
        <f t="shared" si="2"/>
        <v>LRUPTTMAITQ156N</v>
      </c>
      <c r="E144" s="1" t="s">
        <v>304</v>
      </c>
      <c r="F144" s="1" t="s">
        <v>9</v>
      </c>
      <c r="G144" s="1" t="s">
        <v>101</v>
      </c>
      <c r="H144" s="1" t="s">
        <v>102</v>
      </c>
      <c r="I144" s="1" t="s">
        <v>305</v>
      </c>
      <c r="J144" s="1"/>
    </row>
    <row r="145" spans="1:10" ht="12.75" x14ac:dyDescent="0.2">
      <c r="A145" s="1" t="s">
        <v>6</v>
      </c>
      <c r="B145" s="1" t="s">
        <v>7</v>
      </c>
      <c r="C145" s="1">
        <v>1</v>
      </c>
      <c r="D145" s="1" t="str">
        <f t="shared" si="2"/>
        <v>LRUPTTTTITQ156N</v>
      </c>
      <c r="E145" s="1" t="s">
        <v>306</v>
      </c>
      <c r="F145" s="1" t="s">
        <v>9</v>
      </c>
      <c r="G145" s="1" t="s">
        <v>101</v>
      </c>
      <c r="H145" s="1" t="s">
        <v>102</v>
      </c>
      <c r="I145" s="1" t="s">
        <v>307</v>
      </c>
      <c r="J145" s="1"/>
    </row>
    <row r="146" spans="1:10" ht="12.75" x14ac:dyDescent="0.2">
      <c r="A146" s="1" t="s">
        <v>6</v>
      </c>
      <c r="B146" s="1" t="s">
        <v>308</v>
      </c>
      <c r="C146" s="1">
        <v>1</v>
      </c>
      <c r="D146" s="1" t="str">
        <f t="shared" si="2"/>
        <v>00XALCITM086NEST</v>
      </c>
      <c r="E146" s="1" t="s">
        <v>309</v>
      </c>
      <c r="F146" s="1" t="s">
        <v>310</v>
      </c>
      <c r="G146" s="1" t="s">
        <v>101</v>
      </c>
      <c r="H146" s="1" t="s">
        <v>311</v>
      </c>
      <c r="I146" s="1" t="s">
        <v>312</v>
      </c>
      <c r="J146" s="1"/>
    </row>
    <row r="147" spans="1:10" ht="12.75" x14ac:dyDescent="0.2">
      <c r="A147" s="1" t="s">
        <v>6</v>
      </c>
      <c r="B147" s="1" t="s">
        <v>308</v>
      </c>
      <c r="C147" s="1">
        <v>1</v>
      </c>
      <c r="D147" s="1" t="str">
        <f t="shared" si="2"/>
        <v>00XAP0ITM086NEST</v>
      </c>
      <c r="E147" s="1" t="s">
        <v>313</v>
      </c>
      <c r="F147" s="1" t="s">
        <v>310</v>
      </c>
      <c r="G147" s="1" t="s">
        <v>101</v>
      </c>
      <c r="H147" s="1" t="s">
        <v>311</v>
      </c>
      <c r="I147" s="1" t="s">
        <v>314</v>
      </c>
      <c r="J147" s="1"/>
    </row>
    <row r="148" spans="1:10" ht="12.75" x14ac:dyDescent="0.2">
      <c r="A148" s="1" t="s">
        <v>6</v>
      </c>
      <c r="B148" s="1" t="s">
        <v>308</v>
      </c>
      <c r="C148" s="1">
        <v>1</v>
      </c>
      <c r="D148" s="1" t="str">
        <f t="shared" si="2"/>
        <v>00XAPFITM086NEST</v>
      </c>
      <c r="E148" s="1" t="s">
        <v>315</v>
      </c>
      <c r="F148" s="1" t="s">
        <v>310</v>
      </c>
      <c r="G148" s="1" t="s">
        <v>101</v>
      </c>
      <c r="H148" s="1" t="s">
        <v>311</v>
      </c>
      <c r="I148" s="1" t="s">
        <v>316</v>
      </c>
      <c r="J148" s="1"/>
    </row>
    <row r="149" spans="1:10" ht="12.75" x14ac:dyDescent="0.2">
      <c r="A149" s="1" t="s">
        <v>6</v>
      </c>
      <c r="B149" s="1" t="s">
        <v>308</v>
      </c>
      <c r="C149" s="1">
        <v>1</v>
      </c>
      <c r="D149" s="1" t="str">
        <f t="shared" si="2"/>
        <v>00XAPMITM086NEST</v>
      </c>
      <c r="E149" s="1" t="s">
        <v>317</v>
      </c>
      <c r="F149" s="1" t="s">
        <v>310</v>
      </c>
      <c r="G149" s="1" t="s">
        <v>101</v>
      </c>
      <c r="H149" s="1" t="s">
        <v>311</v>
      </c>
      <c r="I149" s="1" t="s">
        <v>314</v>
      </c>
      <c r="J149" s="1"/>
    </row>
    <row r="150" spans="1:10" ht="12.75" x14ac:dyDescent="0.2">
      <c r="A150" s="1" t="s">
        <v>6</v>
      </c>
      <c r="B150" s="1" t="s">
        <v>308</v>
      </c>
      <c r="C150" s="1">
        <v>1</v>
      </c>
      <c r="D150" s="1" t="str">
        <f t="shared" si="2"/>
        <v>00XE00ITM086NEST</v>
      </c>
      <c r="E150" s="1" t="s">
        <v>318</v>
      </c>
      <c r="F150" s="1" t="s">
        <v>310</v>
      </c>
      <c r="G150" s="1" t="s">
        <v>101</v>
      </c>
      <c r="H150" s="1" t="s">
        <v>311</v>
      </c>
      <c r="I150" s="1" t="s">
        <v>319</v>
      </c>
      <c r="J150" s="1"/>
    </row>
    <row r="151" spans="1:10" ht="12.75" x14ac:dyDescent="0.2">
      <c r="A151" s="1" t="s">
        <v>6</v>
      </c>
      <c r="B151" s="1" t="s">
        <v>308</v>
      </c>
      <c r="C151" s="1">
        <v>1</v>
      </c>
      <c r="D151" s="1" t="str">
        <f t="shared" si="2"/>
        <v>00XEDUITM086NEST</v>
      </c>
      <c r="E151" s="1" t="s">
        <v>320</v>
      </c>
      <c r="F151" s="1" t="s">
        <v>310</v>
      </c>
      <c r="G151" s="1" t="s">
        <v>101</v>
      </c>
      <c r="H151" s="1" t="s">
        <v>311</v>
      </c>
      <c r="I151" s="1" t="s">
        <v>321</v>
      </c>
      <c r="J151" s="1"/>
    </row>
    <row r="152" spans="1:10" ht="12.75" x14ac:dyDescent="0.2">
      <c r="A152" s="1" t="s">
        <v>6</v>
      </c>
      <c r="B152" s="1" t="s">
        <v>308</v>
      </c>
      <c r="C152" s="1">
        <v>1</v>
      </c>
      <c r="D152" s="1" t="str">
        <f t="shared" si="2"/>
        <v>00XEFDITM086NEST</v>
      </c>
      <c r="E152" s="1" t="s">
        <v>322</v>
      </c>
      <c r="F152" s="1" t="s">
        <v>310</v>
      </c>
      <c r="G152" s="1" t="s">
        <v>101</v>
      </c>
      <c r="H152" s="1" t="s">
        <v>311</v>
      </c>
      <c r="I152" s="1" t="s">
        <v>323</v>
      </c>
      <c r="J152" s="1"/>
    </row>
    <row r="153" spans="1:10" ht="12.75" x14ac:dyDescent="0.2">
      <c r="A153" s="1" t="s">
        <v>6</v>
      </c>
      <c r="B153" s="1" t="s">
        <v>308</v>
      </c>
      <c r="C153" s="1">
        <v>1</v>
      </c>
      <c r="D153" s="1" t="str">
        <f t="shared" si="2"/>
        <v>00XESEITM086NEST</v>
      </c>
      <c r="E153" s="1" t="s">
        <v>324</v>
      </c>
      <c r="F153" s="1" t="s">
        <v>310</v>
      </c>
      <c r="G153" s="1" t="s">
        <v>101</v>
      </c>
      <c r="H153" s="1" t="s">
        <v>311</v>
      </c>
      <c r="I153" s="1" t="s">
        <v>325</v>
      </c>
      <c r="J153" s="1"/>
    </row>
    <row r="154" spans="1:10" ht="12.75" x14ac:dyDescent="0.2">
      <c r="A154" s="1" t="s">
        <v>6</v>
      </c>
      <c r="B154" s="1" t="s">
        <v>308</v>
      </c>
      <c r="C154" s="1">
        <v>1</v>
      </c>
      <c r="D154" s="1" t="str">
        <f t="shared" si="2"/>
        <v>00XFROITM086NEST</v>
      </c>
      <c r="E154" s="1" t="s">
        <v>326</v>
      </c>
      <c r="F154" s="1" t="s">
        <v>310</v>
      </c>
      <c r="G154" s="1" t="s">
        <v>101</v>
      </c>
      <c r="H154" s="1" t="s">
        <v>311</v>
      </c>
      <c r="I154" s="1" t="s">
        <v>327</v>
      </c>
      <c r="J154" s="1"/>
    </row>
    <row r="155" spans="1:10" ht="12.75" x14ac:dyDescent="0.2">
      <c r="A155" s="1" t="s">
        <v>6</v>
      </c>
      <c r="B155" s="1" t="s">
        <v>308</v>
      </c>
      <c r="C155" s="1">
        <v>1</v>
      </c>
      <c r="D155" s="1" t="str">
        <f t="shared" si="2"/>
        <v>00XFUEITM086NEST</v>
      </c>
      <c r="E155" s="1" t="s">
        <v>328</v>
      </c>
      <c r="F155" s="1" t="s">
        <v>310</v>
      </c>
      <c r="G155" s="1" t="s">
        <v>101</v>
      </c>
      <c r="H155" s="1" t="s">
        <v>311</v>
      </c>
      <c r="I155" s="1" t="s">
        <v>329</v>
      </c>
      <c r="J155" s="1"/>
    </row>
    <row r="156" spans="1:10" ht="12.75" x14ac:dyDescent="0.2">
      <c r="A156" s="1" t="s">
        <v>6</v>
      </c>
      <c r="B156" s="1" t="s">
        <v>308</v>
      </c>
      <c r="C156" s="1">
        <v>1</v>
      </c>
      <c r="D156" s="1" t="str">
        <f t="shared" si="2"/>
        <v>00XFUNITM086NEST</v>
      </c>
      <c r="E156" s="1" t="s">
        <v>330</v>
      </c>
      <c r="F156" s="1" t="s">
        <v>310</v>
      </c>
      <c r="G156" s="1" t="s">
        <v>101</v>
      </c>
      <c r="H156" s="1" t="s">
        <v>311</v>
      </c>
      <c r="I156" s="1" t="s">
        <v>331</v>
      </c>
      <c r="J156" s="1"/>
    </row>
    <row r="157" spans="1:10" ht="12.75" x14ac:dyDescent="0.2">
      <c r="A157" s="1" t="s">
        <v>6</v>
      </c>
      <c r="B157" s="1" t="s">
        <v>308</v>
      </c>
      <c r="C157" s="1">
        <v>1</v>
      </c>
      <c r="D157" s="1" t="str">
        <f t="shared" si="2"/>
        <v>00XHOUITM086NEST</v>
      </c>
      <c r="E157" s="1" t="s">
        <v>332</v>
      </c>
      <c r="F157" s="1" t="s">
        <v>310</v>
      </c>
      <c r="G157" s="1" t="s">
        <v>101</v>
      </c>
      <c r="H157" s="1" t="s">
        <v>311</v>
      </c>
      <c r="I157" s="1" t="s">
        <v>333</v>
      </c>
      <c r="J157" s="1"/>
    </row>
    <row r="158" spans="1:10" ht="12.75" x14ac:dyDescent="0.2">
      <c r="A158" s="1" t="s">
        <v>6</v>
      </c>
      <c r="B158" s="1" t="s">
        <v>308</v>
      </c>
      <c r="C158" s="1">
        <v>1</v>
      </c>
      <c r="D158" s="1" t="str">
        <f t="shared" si="2"/>
        <v>00XSEAITM086NEST</v>
      </c>
      <c r="E158" s="1" t="s">
        <v>334</v>
      </c>
      <c r="F158" s="1" t="s">
        <v>310</v>
      </c>
      <c r="G158" s="1" t="s">
        <v>101</v>
      </c>
      <c r="H158" s="1" t="s">
        <v>311</v>
      </c>
      <c r="I158" s="1" t="s">
        <v>335</v>
      </c>
      <c r="J158" s="1"/>
    </row>
    <row r="159" spans="1:10" ht="12.75" x14ac:dyDescent="0.2">
      <c r="A159" s="1" t="s">
        <v>6</v>
      </c>
      <c r="B159" s="1" t="s">
        <v>308</v>
      </c>
      <c r="C159" s="1">
        <v>1</v>
      </c>
      <c r="D159" s="1" t="str">
        <f t="shared" si="2"/>
        <v>00XTOBITM086NEST</v>
      </c>
      <c r="E159" s="1" t="s">
        <v>336</v>
      </c>
      <c r="F159" s="1" t="s">
        <v>310</v>
      </c>
      <c r="G159" s="1" t="s">
        <v>101</v>
      </c>
      <c r="H159" s="1" t="s">
        <v>311</v>
      </c>
      <c r="I159" s="1" t="s">
        <v>337</v>
      </c>
      <c r="J159" s="1"/>
    </row>
    <row r="160" spans="1:10" ht="12.75" x14ac:dyDescent="0.2">
      <c r="A160" s="1" t="s">
        <v>6</v>
      </c>
      <c r="B160" s="1" t="s">
        <v>308</v>
      </c>
      <c r="C160" s="1">
        <v>1</v>
      </c>
      <c r="D160" s="1" t="str">
        <f t="shared" si="2"/>
        <v>AP0000ITM086NEST</v>
      </c>
      <c r="E160" s="1" t="s">
        <v>338</v>
      </c>
      <c r="F160" s="1" t="s">
        <v>310</v>
      </c>
      <c r="G160" s="1" t="s">
        <v>101</v>
      </c>
      <c r="H160" s="1" t="s">
        <v>311</v>
      </c>
      <c r="I160" s="1" t="s">
        <v>339</v>
      </c>
      <c r="J160" s="1"/>
    </row>
    <row r="161" spans="1:10" ht="12.75" x14ac:dyDescent="0.2">
      <c r="A161" s="1" t="s">
        <v>6</v>
      </c>
      <c r="B161" s="1" t="s">
        <v>308</v>
      </c>
      <c r="C161" s="1">
        <v>1</v>
      </c>
      <c r="D161" s="1" t="str">
        <f t="shared" si="2"/>
        <v>APFULLITM086NEST</v>
      </c>
      <c r="E161" s="1" t="s">
        <v>340</v>
      </c>
      <c r="F161" s="1" t="s">
        <v>310</v>
      </c>
      <c r="G161" s="1" t="s">
        <v>101</v>
      </c>
      <c r="H161" s="1" t="s">
        <v>311</v>
      </c>
      <c r="I161" s="1" t="s">
        <v>341</v>
      </c>
      <c r="J161" s="1"/>
    </row>
    <row r="162" spans="1:10" ht="12.75" x14ac:dyDescent="0.2">
      <c r="A162" s="1" t="s">
        <v>6</v>
      </c>
      <c r="B162" s="1" t="s">
        <v>308</v>
      </c>
      <c r="C162" s="1">
        <v>1</v>
      </c>
      <c r="D162" s="1" t="str">
        <f t="shared" si="2"/>
        <v>APMAINITM086NEST</v>
      </c>
      <c r="E162" s="1" t="s">
        <v>342</v>
      </c>
      <c r="F162" s="1" t="s">
        <v>310</v>
      </c>
      <c r="G162" s="1" t="s">
        <v>101</v>
      </c>
      <c r="H162" s="1" t="s">
        <v>311</v>
      </c>
      <c r="I162" s="1" t="s">
        <v>343</v>
      </c>
      <c r="J162" s="1"/>
    </row>
    <row r="163" spans="1:10" ht="12.75" x14ac:dyDescent="0.2">
      <c r="A163" s="1" t="s">
        <v>6</v>
      </c>
      <c r="B163" s="1" t="s">
        <v>308</v>
      </c>
      <c r="C163" s="1">
        <v>1</v>
      </c>
      <c r="D163" s="1" t="str">
        <f t="shared" si="2"/>
        <v>CP0000ITM086NEST</v>
      </c>
      <c r="E163" s="1" t="s">
        <v>344</v>
      </c>
      <c r="F163" s="1" t="s">
        <v>310</v>
      </c>
      <c r="G163" s="1" t="s">
        <v>101</v>
      </c>
      <c r="H163" s="1" t="s">
        <v>311</v>
      </c>
      <c r="I163" s="1" t="s">
        <v>345</v>
      </c>
      <c r="J163" s="1"/>
    </row>
    <row r="164" spans="1:10" ht="12.75" x14ac:dyDescent="0.2">
      <c r="A164" s="1" t="s">
        <v>6</v>
      </c>
      <c r="B164" s="1" t="s">
        <v>308</v>
      </c>
      <c r="C164" s="1">
        <v>1</v>
      </c>
      <c r="D164" s="1" t="str">
        <f t="shared" si="2"/>
        <v>CP0100ITM086NEST</v>
      </c>
      <c r="E164" s="1" t="s">
        <v>346</v>
      </c>
      <c r="F164" s="1" t="s">
        <v>310</v>
      </c>
      <c r="G164" s="1" t="s">
        <v>101</v>
      </c>
      <c r="H164" s="1" t="s">
        <v>311</v>
      </c>
      <c r="I164" s="1" t="s">
        <v>347</v>
      </c>
      <c r="J164" s="1"/>
    </row>
    <row r="165" spans="1:10" ht="12.75" x14ac:dyDescent="0.2">
      <c r="A165" s="1" t="s">
        <v>6</v>
      </c>
      <c r="B165" s="1" t="s">
        <v>308</v>
      </c>
      <c r="C165" s="1">
        <v>1</v>
      </c>
      <c r="D165" s="1" t="str">
        <f t="shared" si="2"/>
        <v>CP0110ITM086NEST</v>
      </c>
      <c r="E165" s="1" t="s">
        <v>348</v>
      </c>
      <c r="F165" s="1" t="s">
        <v>310</v>
      </c>
      <c r="G165" s="1" t="s">
        <v>101</v>
      </c>
      <c r="H165" s="1" t="s">
        <v>311</v>
      </c>
      <c r="I165" s="1" t="s">
        <v>349</v>
      </c>
      <c r="J165" s="1"/>
    </row>
    <row r="166" spans="1:10" ht="12.75" x14ac:dyDescent="0.2">
      <c r="A166" s="1" t="s">
        <v>6</v>
      </c>
      <c r="B166" s="1" t="s">
        <v>308</v>
      </c>
      <c r="C166" s="1">
        <v>1</v>
      </c>
      <c r="D166" s="1" t="str">
        <f t="shared" si="2"/>
        <v>CP0111ITM086NEST</v>
      </c>
      <c r="E166" s="1" t="s">
        <v>350</v>
      </c>
      <c r="F166" s="1" t="s">
        <v>310</v>
      </c>
      <c r="G166" s="1" t="s">
        <v>101</v>
      </c>
      <c r="H166" s="1" t="s">
        <v>311</v>
      </c>
      <c r="I166" s="1" t="s">
        <v>351</v>
      </c>
      <c r="J166" s="1"/>
    </row>
    <row r="167" spans="1:10" ht="12.75" x14ac:dyDescent="0.2">
      <c r="A167" s="1" t="s">
        <v>6</v>
      </c>
      <c r="B167" s="1" t="s">
        <v>308</v>
      </c>
      <c r="C167" s="1">
        <v>1</v>
      </c>
      <c r="D167" s="1" t="str">
        <f t="shared" si="2"/>
        <v>CP0112ITM086NEST</v>
      </c>
      <c r="E167" s="1" t="s">
        <v>352</v>
      </c>
      <c r="F167" s="1" t="s">
        <v>310</v>
      </c>
      <c r="G167" s="1" t="s">
        <v>101</v>
      </c>
      <c r="H167" s="1" t="s">
        <v>311</v>
      </c>
      <c r="I167" s="1" t="s">
        <v>353</v>
      </c>
      <c r="J167" s="1"/>
    </row>
    <row r="168" spans="1:10" ht="12.75" x14ac:dyDescent="0.2">
      <c r="A168" s="1" t="s">
        <v>6</v>
      </c>
      <c r="B168" s="1" t="s">
        <v>308</v>
      </c>
      <c r="C168" s="1">
        <v>1</v>
      </c>
      <c r="D168" s="1" t="str">
        <f t="shared" si="2"/>
        <v>CP0113ITM086NEST</v>
      </c>
      <c r="E168" s="1" t="s">
        <v>354</v>
      </c>
      <c r="F168" s="1" t="s">
        <v>310</v>
      </c>
      <c r="G168" s="1" t="s">
        <v>101</v>
      </c>
      <c r="H168" s="1" t="s">
        <v>311</v>
      </c>
      <c r="I168" s="1" t="s">
        <v>355</v>
      </c>
      <c r="J168" s="1"/>
    </row>
    <row r="169" spans="1:10" ht="12.75" x14ac:dyDescent="0.2">
      <c r="A169" s="1" t="s">
        <v>6</v>
      </c>
      <c r="B169" s="1" t="s">
        <v>308</v>
      </c>
      <c r="C169" s="1">
        <v>1</v>
      </c>
      <c r="D169" s="1" t="str">
        <f t="shared" si="2"/>
        <v>CP0114ITM086NEST</v>
      </c>
      <c r="E169" s="1" t="s">
        <v>356</v>
      </c>
      <c r="F169" s="1" t="s">
        <v>310</v>
      </c>
      <c r="G169" s="1" t="s">
        <v>101</v>
      </c>
      <c r="H169" s="1" t="s">
        <v>311</v>
      </c>
      <c r="I169" s="1" t="s">
        <v>357</v>
      </c>
      <c r="J169" s="1"/>
    </row>
    <row r="170" spans="1:10" ht="12.75" x14ac:dyDescent="0.2">
      <c r="A170" s="1" t="s">
        <v>6</v>
      </c>
      <c r="B170" s="1" t="s">
        <v>308</v>
      </c>
      <c r="C170" s="1">
        <v>1</v>
      </c>
      <c r="D170" s="1" t="str">
        <f t="shared" si="2"/>
        <v>CP0115ITM086NEST</v>
      </c>
      <c r="E170" s="1" t="s">
        <v>358</v>
      </c>
      <c r="F170" s="1" t="s">
        <v>310</v>
      </c>
      <c r="G170" s="1" t="s">
        <v>101</v>
      </c>
      <c r="H170" s="1" t="s">
        <v>311</v>
      </c>
      <c r="I170" s="1" t="s">
        <v>359</v>
      </c>
      <c r="J170" s="1"/>
    </row>
    <row r="171" spans="1:10" ht="12.75" x14ac:dyDescent="0.2">
      <c r="A171" s="1" t="s">
        <v>6</v>
      </c>
      <c r="B171" s="1" t="s">
        <v>308</v>
      </c>
      <c r="C171" s="1">
        <v>1</v>
      </c>
      <c r="D171" s="1" t="str">
        <f t="shared" si="2"/>
        <v>CP0116ITM086NEST</v>
      </c>
      <c r="E171" s="1" t="s">
        <v>360</v>
      </c>
      <c r="F171" s="1" t="s">
        <v>310</v>
      </c>
      <c r="G171" s="1" t="s">
        <v>101</v>
      </c>
      <c r="H171" s="1" t="s">
        <v>311</v>
      </c>
      <c r="I171" s="1" t="s">
        <v>361</v>
      </c>
      <c r="J171" s="1"/>
    </row>
    <row r="172" spans="1:10" ht="12.75" x14ac:dyDescent="0.2">
      <c r="A172" s="1" t="s">
        <v>6</v>
      </c>
      <c r="B172" s="1" t="s">
        <v>308</v>
      </c>
      <c r="C172" s="1">
        <v>1</v>
      </c>
      <c r="D172" s="1" t="str">
        <f t="shared" si="2"/>
        <v>CP0117ITM086NEST</v>
      </c>
      <c r="E172" s="1" t="s">
        <v>362</v>
      </c>
      <c r="F172" s="1" t="s">
        <v>310</v>
      </c>
      <c r="G172" s="1" t="s">
        <v>101</v>
      </c>
      <c r="H172" s="1" t="s">
        <v>311</v>
      </c>
      <c r="I172" s="1" t="s">
        <v>363</v>
      </c>
      <c r="J172" s="1"/>
    </row>
    <row r="173" spans="1:10" ht="12.75" x14ac:dyDescent="0.2">
      <c r="A173" s="1" t="s">
        <v>6</v>
      </c>
      <c r="B173" s="1" t="s">
        <v>308</v>
      </c>
      <c r="C173" s="1">
        <v>1</v>
      </c>
      <c r="D173" s="1" t="str">
        <f t="shared" si="2"/>
        <v>CP0118ITM086NEST</v>
      </c>
      <c r="E173" s="1" t="s">
        <v>364</v>
      </c>
      <c r="F173" s="1" t="s">
        <v>310</v>
      </c>
      <c r="G173" s="1" t="s">
        <v>101</v>
      </c>
      <c r="H173" s="1" t="s">
        <v>311</v>
      </c>
      <c r="I173" s="1" t="s">
        <v>365</v>
      </c>
      <c r="J173" s="1"/>
    </row>
    <row r="174" spans="1:10" ht="12.75" x14ac:dyDescent="0.2">
      <c r="A174" s="1" t="s">
        <v>6</v>
      </c>
      <c r="B174" s="1" t="s">
        <v>308</v>
      </c>
      <c r="C174" s="1">
        <v>1</v>
      </c>
      <c r="D174" s="1" t="str">
        <f t="shared" si="2"/>
        <v>CP0119ITM086NEST</v>
      </c>
      <c r="E174" s="1" t="s">
        <v>366</v>
      </c>
      <c r="F174" s="1" t="s">
        <v>310</v>
      </c>
      <c r="G174" s="1" t="s">
        <v>101</v>
      </c>
      <c r="H174" s="1" t="s">
        <v>311</v>
      </c>
      <c r="I174" s="1" t="s">
        <v>367</v>
      </c>
      <c r="J174" s="1"/>
    </row>
    <row r="175" spans="1:10" ht="12.75" x14ac:dyDescent="0.2">
      <c r="A175" s="1" t="s">
        <v>6</v>
      </c>
      <c r="B175" s="1" t="s">
        <v>308</v>
      </c>
      <c r="C175" s="1">
        <v>1</v>
      </c>
      <c r="D175" s="1" t="str">
        <f t="shared" si="2"/>
        <v>CP0120ITM086NEST</v>
      </c>
      <c r="E175" s="1" t="s">
        <v>368</v>
      </c>
      <c r="F175" s="1" t="s">
        <v>310</v>
      </c>
      <c r="G175" s="1" t="s">
        <v>101</v>
      </c>
      <c r="H175" s="1" t="s">
        <v>311</v>
      </c>
      <c r="I175" s="1" t="s">
        <v>369</v>
      </c>
      <c r="J175" s="1"/>
    </row>
    <row r="176" spans="1:10" ht="12.75" x14ac:dyDescent="0.2">
      <c r="A176" s="1" t="s">
        <v>6</v>
      </c>
      <c r="B176" s="1" t="s">
        <v>308</v>
      </c>
      <c r="C176" s="1">
        <v>1</v>
      </c>
      <c r="D176" s="1" t="str">
        <f t="shared" si="2"/>
        <v>CP0121ITM086NEST</v>
      </c>
      <c r="E176" s="1" t="s">
        <v>370</v>
      </c>
      <c r="F176" s="1" t="s">
        <v>310</v>
      </c>
      <c r="G176" s="1" t="s">
        <v>101</v>
      </c>
      <c r="H176" s="1" t="s">
        <v>311</v>
      </c>
      <c r="I176" s="1" t="s">
        <v>371</v>
      </c>
      <c r="J176" s="1"/>
    </row>
    <row r="177" spans="1:10" ht="12.75" x14ac:dyDescent="0.2">
      <c r="A177" s="1" t="s">
        <v>6</v>
      </c>
      <c r="B177" s="1" t="s">
        <v>308</v>
      </c>
      <c r="C177" s="1">
        <v>1</v>
      </c>
      <c r="D177" s="1" t="str">
        <f t="shared" si="2"/>
        <v>CP0122ITM086NEST</v>
      </c>
      <c r="E177" s="1" t="s">
        <v>372</v>
      </c>
      <c r="F177" s="1" t="s">
        <v>310</v>
      </c>
      <c r="G177" s="1" t="s">
        <v>101</v>
      </c>
      <c r="H177" s="1" t="s">
        <v>311</v>
      </c>
      <c r="I177" s="1" t="s">
        <v>373</v>
      </c>
      <c r="J177" s="1"/>
    </row>
    <row r="178" spans="1:10" ht="12.75" x14ac:dyDescent="0.2">
      <c r="A178" s="1" t="s">
        <v>6</v>
      </c>
      <c r="B178" s="1" t="s">
        <v>308</v>
      </c>
      <c r="C178" s="1">
        <v>1</v>
      </c>
      <c r="D178" s="1" t="str">
        <f t="shared" si="2"/>
        <v>CP0200ITM086NEST</v>
      </c>
      <c r="E178" s="1" t="s">
        <v>374</v>
      </c>
      <c r="F178" s="1" t="s">
        <v>310</v>
      </c>
      <c r="G178" s="1" t="s">
        <v>101</v>
      </c>
      <c r="H178" s="1" t="s">
        <v>311</v>
      </c>
      <c r="I178" s="1" t="s">
        <v>375</v>
      </c>
      <c r="J178" s="1"/>
    </row>
    <row r="179" spans="1:10" ht="12.75" x14ac:dyDescent="0.2">
      <c r="A179" s="1" t="s">
        <v>6</v>
      </c>
      <c r="B179" s="1" t="s">
        <v>308</v>
      </c>
      <c r="C179" s="1">
        <v>1</v>
      </c>
      <c r="D179" s="1" t="str">
        <f t="shared" si="2"/>
        <v>CP0210ITM086NEST</v>
      </c>
      <c r="E179" s="1" t="s">
        <v>376</v>
      </c>
      <c r="F179" s="1" t="s">
        <v>310</v>
      </c>
      <c r="G179" s="1" t="s">
        <v>101</v>
      </c>
      <c r="H179" s="1" t="s">
        <v>311</v>
      </c>
      <c r="I179" s="1" t="s">
        <v>377</v>
      </c>
      <c r="J179" s="1"/>
    </row>
    <row r="180" spans="1:10" ht="12.75" x14ac:dyDescent="0.2">
      <c r="A180" s="1" t="s">
        <v>6</v>
      </c>
      <c r="B180" s="1" t="s">
        <v>308</v>
      </c>
      <c r="C180" s="1">
        <v>1</v>
      </c>
      <c r="D180" s="1" t="str">
        <f t="shared" si="2"/>
        <v>CP0211ITM086NEST</v>
      </c>
      <c r="E180" s="1" t="s">
        <v>378</v>
      </c>
      <c r="F180" s="1" t="s">
        <v>310</v>
      </c>
      <c r="G180" s="1" t="s">
        <v>101</v>
      </c>
      <c r="H180" s="1" t="s">
        <v>311</v>
      </c>
      <c r="I180" s="1" t="s">
        <v>379</v>
      </c>
      <c r="J180" s="1"/>
    </row>
    <row r="181" spans="1:10" ht="12.75" x14ac:dyDescent="0.2">
      <c r="A181" s="1" t="s">
        <v>6</v>
      </c>
      <c r="B181" s="1" t="s">
        <v>308</v>
      </c>
      <c r="C181" s="1">
        <v>1</v>
      </c>
      <c r="D181" s="1" t="str">
        <f t="shared" si="2"/>
        <v>CP0212ITM086NEST</v>
      </c>
      <c r="E181" s="1" t="s">
        <v>380</v>
      </c>
      <c r="F181" s="1" t="s">
        <v>310</v>
      </c>
      <c r="G181" s="1" t="s">
        <v>101</v>
      </c>
      <c r="H181" s="1" t="s">
        <v>311</v>
      </c>
      <c r="I181" s="1" t="s">
        <v>381</v>
      </c>
      <c r="J181" s="1"/>
    </row>
    <row r="182" spans="1:10" ht="12.75" x14ac:dyDescent="0.2">
      <c r="A182" s="1" t="s">
        <v>6</v>
      </c>
      <c r="B182" s="1" t="s">
        <v>308</v>
      </c>
      <c r="C182" s="1">
        <v>1</v>
      </c>
      <c r="D182" s="1" t="str">
        <f t="shared" si="2"/>
        <v>CP0213ITM086NEST</v>
      </c>
      <c r="E182" s="1" t="s">
        <v>382</v>
      </c>
      <c r="F182" s="1" t="s">
        <v>310</v>
      </c>
      <c r="G182" s="1" t="s">
        <v>101</v>
      </c>
      <c r="H182" s="1" t="s">
        <v>311</v>
      </c>
      <c r="I182" s="1" t="s">
        <v>383</v>
      </c>
      <c r="J182" s="1"/>
    </row>
    <row r="183" spans="1:10" ht="12.75" x14ac:dyDescent="0.2">
      <c r="A183" s="1" t="s">
        <v>6</v>
      </c>
      <c r="B183" s="1" t="s">
        <v>308</v>
      </c>
      <c r="C183" s="1">
        <v>1</v>
      </c>
      <c r="D183" s="1" t="str">
        <f t="shared" si="2"/>
        <v>CP0220ITM086NEST</v>
      </c>
      <c r="E183" s="1" t="s">
        <v>384</v>
      </c>
      <c r="F183" s="1" t="s">
        <v>310</v>
      </c>
      <c r="G183" s="1" t="s">
        <v>101</v>
      </c>
      <c r="H183" s="1" t="s">
        <v>311</v>
      </c>
      <c r="I183" s="1" t="s">
        <v>385</v>
      </c>
      <c r="J183" s="1"/>
    </row>
    <row r="184" spans="1:10" ht="12.75" x14ac:dyDescent="0.2">
      <c r="A184" s="1" t="s">
        <v>6</v>
      </c>
      <c r="B184" s="1" t="s">
        <v>308</v>
      </c>
      <c r="C184" s="1">
        <v>1</v>
      </c>
      <c r="D184" s="1" t="str">
        <f t="shared" si="2"/>
        <v>CP0300ITM086NEST</v>
      </c>
      <c r="E184" s="1" t="s">
        <v>386</v>
      </c>
      <c r="F184" s="1" t="s">
        <v>310</v>
      </c>
      <c r="G184" s="1" t="s">
        <v>101</v>
      </c>
      <c r="H184" s="1" t="s">
        <v>311</v>
      </c>
      <c r="I184" s="1" t="s">
        <v>387</v>
      </c>
      <c r="J184" s="1"/>
    </row>
    <row r="185" spans="1:10" ht="12.75" x14ac:dyDescent="0.2">
      <c r="A185" s="1" t="s">
        <v>6</v>
      </c>
      <c r="B185" s="1" t="s">
        <v>308</v>
      </c>
      <c r="C185" s="1">
        <v>1</v>
      </c>
      <c r="D185" s="1" t="str">
        <f t="shared" si="2"/>
        <v>CP0310ITM086NEST</v>
      </c>
      <c r="E185" s="1" t="s">
        <v>388</v>
      </c>
      <c r="F185" s="1" t="s">
        <v>310</v>
      </c>
      <c r="G185" s="1" t="s">
        <v>101</v>
      </c>
      <c r="H185" s="1" t="s">
        <v>311</v>
      </c>
      <c r="I185" s="1" t="s">
        <v>389</v>
      </c>
      <c r="J185" s="1"/>
    </row>
    <row r="186" spans="1:10" ht="12.75" x14ac:dyDescent="0.2">
      <c r="A186" s="1" t="s">
        <v>6</v>
      </c>
      <c r="B186" s="1" t="s">
        <v>308</v>
      </c>
      <c r="C186" s="1">
        <v>1</v>
      </c>
      <c r="D186" s="1" t="str">
        <f t="shared" si="2"/>
        <v>CP0311ITM086NEST</v>
      </c>
      <c r="E186" s="1" t="s">
        <v>390</v>
      </c>
      <c r="F186" s="1" t="s">
        <v>310</v>
      </c>
      <c r="G186" s="1" t="s">
        <v>101</v>
      </c>
      <c r="H186" s="1" t="s">
        <v>311</v>
      </c>
      <c r="I186" s="1" t="s">
        <v>391</v>
      </c>
      <c r="J186" s="1"/>
    </row>
    <row r="187" spans="1:10" ht="12.75" x14ac:dyDescent="0.2">
      <c r="A187" s="1" t="s">
        <v>6</v>
      </c>
      <c r="B187" s="1" t="s">
        <v>308</v>
      </c>
      <c r="C187" s="1">
        <v>1</v>
      </c>
      <c r="D187" s="1" t="str">
        <f t="shared" si="2"/>
        <v>CP0312ITM086NEST</v>
      </c>
      <c r="E187" s="1" t="s">
        <v>392</v>
      </c>
      <c r="F187" s="1" t="s">
        <v>310</v>
      </c>
      <c r="G187" s="1" t="s">
        <v>101</v>
      </c>
      <c r="H187" s="1" t="s">
        <v>311</v>
      </c>
      <c r="I187" s="1" t="s">
        <v>393</v>
      </c>
      <c r="J187" s="1"/>
    </row>
    <row r="188" spans="1:10" ht="12.75" x14ac:dyDescent="0.2">
      <c r="A188" s="1" t="s">
        <v>6</v>
      </c>
      <c r="B188" s="1" t="s">
        <v>308</v>
      </c>
      <c r="C188" s="1">
        <v>1</v>
      </c>
      <c r="D188" s="1" t="str">
        <f t="shared" si="2"/>
        <v>CP0313ITM086NEST</v>
      </c>
      <c r="E188" s="1" t="s">
        <v>394</v>
      </c>
      <c r="F188" s="1" t="s">
        <v>310</v>
      </c>
      <c r="G188" s="1" t="s">
        <v>101</v>
      </c>
      <c r="H188" s="1" t="s">
        <v>311</v>
      </c>
      <c r="I188" s="1" t="s">
        <v>395</v>
      </c>
      <c r="J188" s="1"/>
    </row>
    <row r="189" spans="1:10" ht="12.75" x14ac:dyDescent="0.2">
      <c r="A189" s="1" t="s">
        <v>6</v>
      </c>
      <c r="B189" s="1" t="s">
        <v>308</v>
      </c>
      <c r="C189" s="1">
        <v>1</v>
      </c>
      <c r="D189" s="1" t="str">
        <f t="shared" si="2"/>
        <v>CP0314ITM086NEST</v>
      </c>
      <c r="E189" s="1" t="s">
        <v>396</v>
      </c>
      <c r="F189" s="1" t="s">
        <v>310</v>
      </c>
      <c r="G189" s="1" t="s">
        <v>101</v>
      </c>
      <c r="H189" s="1" t="s">
        <v>311</v>
      </c>
      <c r="I189" s="1" t="s">
        <v>397</v>
      </c>
      <c r="J189" s="1"/>
    </row>
    <row r="190" spans="1:10" ht="12.75" x14ac:dyDescent="0.2">
      <c r="A190" s="1" t="s">
        <v>6</v>
      </c>
      <c r="B190" s="1" t="s">
        <v>308</v>
      </c>
      <c r="C190" s="1">
        <v>1</v>
      </c>
      <c r="D190" s="1" t="str">
        <f t="shared" si="2"/>
        <v>CP0320ITM086NEST</v>
      </c>
      <c r="E190" s="1" t="s">
        <v>398</v>
      </c>
      <c r="F190" s="1" t="s">
        <v>310</v>
      </c>
      <c r="G190" s="1" t="s">
        <v>101</v>
      </c>
      <c r="H190" s="1" t="s">
        <v>311</v>
      </c>
      <c r="I190" s="1" t="s">
        <v>399</v>
      </c>
      <c r="J190" s="1"/>
    </row>
    <row r="191" spans="1:10" ht="12.75" x14ac:dyDescent="0.2">
      <c r="A191" s="1" t="s">
        <v>6</v>
      </c>
      <c r="B191" s="1" t="s">
        <v>308</v>
      </c>
      <c r="C191" s="1">
        <v>1</v>
      </c>
      <c r="D191" s="1" t="str">
        <f t="shared" si="2"/>
        <v>CP0400ITM086NEST</v>
      </c>
      <c r="E191" s="1" t="s">
        <v>400</v>
      </c>
      <c r="F191" s="1" t="s">
        <v>310</v>
      </c>
      <c r="G191" s="1" t="s">
        <v>101</v>
      </c>
      <c r="H191" s="1" t="s">
        <v>311</v>
      </c>
      <c r="I191" s="1" t="s">
        <v>401</v>
      </c>
      <c r="J191" s="1"/>
    </row>
    <row r="192" spans="1:10" ht="12.75" x14ac:dyDescent="0.2">
      <c r="A192" s="1" t="s">
        <v>6</v>
      </c>
      <c r="B192" s="1" t="s">
        <v>308</v>
      </c>
      <c r="C192" s="1">
        <v>1</v>
      </c>
      <c r="D192" s="1" t="str">
        <f t="shared" si="2"/>
        <v>CP0410ITM086NEST</v>
      </c>
      <c r="E192" s="1" t="s">
        <v>402</v>
      </c>
      <c r="F192" s="1" t="s">
        <v>310</v>
      </c>
      <c r="G192" s="1" t="s">
        <v>101</v>
      </c>
      <c r="H192" s="1" t="s">
        <v>311</v>
      </c>
      <c r="I192" s="1" t="s">
        <v>403</v>
      </c>
      <c r="J192" s="1"/>
    </row>
    <row r="193" spans="1:10" ht="12.75" x14ac:dyDescent="0.2">
      <c r="A193" s="1" t="s">
        <v>6</v>
      </c>
      <c r="B193" s="1" t="s">
        <v>308</v>
      </c>
      <c r="C193" s="1">
        <v>1</v>
      </c>
      <c r="D193" s="1" t="str">
        <f t="shared" si="2"/>
        <v>CP0430ITM086NEST</v>
      </c>
      <c r="E193" s="1" t="s">
        <v>404</v>
      </c>
      <c r="F193" s="1" t="s">
        <v>310</v>
      </c>
      <c r="G193" s="1" t="s">
        <v>101</v>
      </c>
      <c r="H193" s="1" t="s">
        <v>311</v>
      </c>
      <c r="I193" s="1" t="s">
        <v>405</v>
      </c>
      <c r="J193" s="1"/>
    </row>
    <row r="194" spans="1:10" ht="12.75" x14ac:dyDescent="0.2">
      <c r="A194" s="1" t="s">
        <v>6</v>
      </c>
      <c r="B194" s="1" t="s">
        <v>308</v>
      </c>
      <c r="C194" s="1">
        <v>1</v>
      </c>
      <c r="D194" s="1" t="str">
        <f t="shared" si="2"/>
        <v>CP0431ITM086NEST</v>
      </c>
      <c r="E194" s="1" t="s">
        <v>406</v>
      </c>
      <c r="F194" s="1" t="s">
        <v>310</v>
      </c>
      <c r="G194" s="1" t="s">
        <v>101</v>
      </c>
      <c r="H194" s="1" t="s">
        <v>311</v>
      </c>
      <c r="I194" s="1" t="s">
        <v>407</v>
      </c>
      <c r="J194" s="1"/>
    </row>
    <row r="195" spans="1:10" ht="12.75" x14ac:dyDescent="0.2">
      <c r="A195" s="1" t="s">
        <v>6</v>
      </c>
      <c r="B195" s="1" t="s">
        <v>308</v>
      </c>
      <c r="C195" s="1">
        <v>1</v>
      </c>
      <c r="D195" s="1" t="str">
        <f t="shared" ref="D195:D258" si="3">E195</f>
        <v>CP0432ITM086NEST</v>
      </c>
      <c r="E195" s="1" t="s">
        <v>408</v>
      </c>
      <c r="F195" s="1" t="s">
        <v>310</v>
      </c>
      <c r="G195" s="1" t="s">
        <v>101</v>
      </c>
      <c r="H195" s="1" t="s">
        <v>311</v>
      </c>
      <c r="I195" s="1" t="s">
        <v>409</v>
      </c>
      <c r="J195" s="1"/>
    </row>
    <row r="196" spans="1:10" ht="12.75" x14ac:dyDescent="0.2">
      <c r="A196" s="1" t="s">
        <v>6</v>
      </c>
      <c r="B196" s="1" t="s">
        <v>308</v>
      </c>
      <c r="C196" s="1">
        <v>1</v>
      </c>
      <c r="D196" s="1" t="str">
        <f t="shared" si="3"/>
        <v>CP0440ITM086NEST</v>
      </c>
      <c r="E196" s="1" t="s">
        <v>410</v>
      </c>
      <c r="F196" s="1" t="s">
        <v>310</v>
      </c>
      <c r="G196" s="1" t="s">
        <v>101</v>
      </c>
      <c r="H196" s="1" t="s">
        <v>311</v>
      </c>
      <c r="I196" s="1" t="s">
        <v>411</v>
      </c>
      <c r="J196" s="1"/>
    </row>
    <row r="197" spans="1:10" ht="12.75" x14ac:dyDescent="0.2">
      <c r="A197" s="1" t="s">
        <v>6</v>
      </c>
      <c r="B197" s="1" t="s">
        <v>308</v>
      </c>
      <c r="C197" s="1">
        <v>1</v>
      </c>
      <c r="D197" s="1" t="str">
        <f t="shared" si="3"/>
        <v>CP0441ITM086NEST</v>
      </c>
      <c r="E197" s="1" t="s">
        <v>412</v>
      </c>
      <c r="F197" s="1" t="s">
        <v>310</v>
      </c>
      <c r="G197" s="1" t="s">
        <v>101</v>
      </c>
      <c r="H197" s="1" t="s">
        <v>311</v>
      </c>
      <c r="I197" s="1" t="s">
        <v>413</v>
      </c>
      <c r="J197" s="1"/>
    </row>
    <row r="198" spans="1:10" ht="12.75" x14ac:dyDescent="0.2">
      <c r="A198" s="1" t="s">
        <v>6</v>
      </c>
      <c r="B198" s="1" t="s">
        <v>308</v>
      </c>
      <c r="C198" s="1">
        <v>1</v>
      </c>
      <c r="D198" s="1" t="str">
        <f t="shared" si="3"/>
        <v>CP0442ITM086NEST</v>
      </c>
      <c r="E198" s="1" t="s">
        <v>414</v>
      </c>
      <c r="F198" s="1" t="s">
        <v>310</v>
      </c>
      <c r="G198" s="1" t="s">
        <v>101</v>
      </c>
      <c r="H198" s="1" t="s">
        <v>311</v>
      </c>
      <c r="I198" s="1" t="s">
        <v>415</v>
      </c>
      <c r="J198" s="1"/>
    </row>
    <row r="199" spans="1:10" ht="12.75" x14ac:dyDescent="0.2">
      <c r="A199" s="1" t="s">
        <v>6</v>
      </c>
      <c r="B199" s="1" t="s">
        <v>308</v>
      </c>
      <c r="C199" s="1">
        <v>1</v>
      </c>
      <c r="D199" s="1" t="str">
        <f t="shared" si="3"/>
        <v>CP0443ITM086NEST</v>
      </c>
      <c r="E199" s="1" t="s">
        <v>416</v>
      </c>
      <c r="F199" s="1" t="s">
        <v>310</v>
      </c>
      <c r="G199" s="1" t="s">
        <v>101</v>
      </c>
      <c r="H199" s="1" t="s">
        <v>311</v>
      </c>
      <c r="I199" s="1" t="s">
        <v>417</v>
      </c>
      <c r="J199" s="1"/>
    </row>
    <row r="200" spans="1:10" ht="12.75" x14ac:dyDescent="0.2">
      <c r="A200" s="1" t="s">
        <v>6</v>
      </c>
      <c r="B200" s="1" t="s">
        <v>308</v>
      </c>
      <c r="C200" s="1">
        <v>1</v>
      </c>
      <c r="D200" s="1" t="str">
        <f t="shared" si="3"/>
        <v>CP0444ITM086NEST</v>
      </c>
      <c r="E200" s="1" t="s">
        <v>418</v>
      </c>
      <c r="F200" s="1" t="s">
        <v>310</v>
      </c>
      <c r="G200" s="1" t="s">
        <v>101</v>
      </c>
      <c r="H200" s="1" t="s">
        <v>311</v>
      </c>
      <c r="I200" s="1" t="s">
        <v>419</v>
      </c>
      <c r="J200" s="1"/>
    </row>
    <row r="201" spans="1:10" ht="12.75" x14ac:dyDescent="0.2">
      <c r="A201" s="1" t="s">
        <v>6</v>
      </c>
      <c r="B201" s="1" t="s">
        <v>308</v>
      </c>
      <c r="C201" s="1">
        <v>1</v>
      </c>
      <c r="D201" s="1" t="str">
        <f t="shared" si="3"/>
        <v>CP0450ITM086NEST</v>
      </c>
      <c r="E201" s="1" t="s">
        <v>420</v>
      </c>
      <c r="F201" s="1" t="s">
        <v>310</v>
      </c>
      <c r="G201" s="1" t="s">
        <v>101</v>
      </c>
      <c r="H201" s="1" t="s">
        <v>311</v>
      </c>
      <c r="I201" s="1" t="s">
        <v>421</v>
      </c>
      <c r="J201" s="1"/>
    </row>
    <row r="202" spans="1:10" ht="12.75" x14ac:dyDescent="0.2">
      <c r="A202" s="1" t="s">
        <v>6</v>
      </c>
      <c r="B202" s="1" t="s">
        <v>308</v>
      </c>
      <c r="C202" s="1">
        <v>1</v>
      </c>
      <c r="D202" s="1" t="str">
        <f t="shared" si="3"/>
        <v>CP0451ITM086NEST</v>
      </c>
      <c r="E202" s="1" t="s">
        <v>422</v>
      </c>
      <c r="F202" s="1" t="s">
        <v>310</v>
      </c>
      <c r="G202" s="1" t="s">
        <v>101</v>
      </c>
      <c r="H202" s="1" t="s">
        <v>311</v>
      </c>
      <c r="I202" s="1" t="s">
        <v>423</v>
      </c>
      <c r="J202" s="1"/>
    </row>
    <row r="203" spans="1:10" ht="12.75" x14ac:dyDescent="0.2">
      <c r="A203" s="1" t="s">
        <v>6</v>
      </c>
      <c r="B203" s="1" t="s">
        <v>308</v>
      </c>
      <c r="C203" s="1">
        <v>1</v>
      </c>
      <c r="D203" s="1" t="str">
        <f t="shared" si="3"/>
        <v>CP0452ITM086NEST</v>
      </c>
      <c r="E203" s="1" t="s">
        <v>424</v>
      </c>
      <c r="F203" s="1" t="s">
        <v>310</v>
      </c>
      <c r="G203" s="1" t="s">
        <v>101</v>
      </c>
      <c r="H203" s="1" t="s">
        <v>311</v>
      </c>
      <c r="I203" s="1" t="s">
        <v>425</v>
      </c>
      <c r="J203" s="1"/>
    </row>
    <row r="204" spans="1:10" ht="12.75" x14ac:dyDescent="0.2">
      <c r="A204" s="1" t="s">
        <v>6</v>
      </c>
      <c r="B204" s="1" t="s">
        <v>308</v>
      </c>
      <c r="C204" s="1">
        <v>1</v>
      </c>
      <c r="D204" s="1" t="str">
        <f t="shared" si="3"/>
        <v>CP0453ITM086NEST</v>
      </c>
      <c r="E204" s="1" t="s">
        <v>426</v>
      </c>
      <c r="F204" s="1" t="s">
        <v>310</v>
      </c>
      <c r="G204" s="1" t="s">
        <v>101</v>
      </c>
      <c r="H204" s="1" t="s">
        <v>311</v>
      </c>
      <c r="I204" s="1" t="s">
        <v>427</v>
      </c>
      <c r="J204" s="1"/>
    </row>
    <row r="205" spans="1:10" ht="12.75" x14ac:dyDescent="0.2">
      <c r="A205" s="1" t="s">
        <v>6</v>
      </c>
      <c r="B205" s="1" t="s">
        <v>308</v>
      </c>
      <c r="C205" s="1">
        <v>1</v>
      </c>
      <c r="D205" s="1" t="str">
        <f t="shared" si="3"/>
        <v>CP0454ITM086NEST</v>
      </c>
      <c r="E205" s="1" t="s">
        <v>428</v>
      </c>
      <c r="F205" s="1" t="s">
        <v>310</v>
      </c>
      <c r="G205" s="1" t="s">
        <v>101</v>
      </c>
      <c r="H205" s="1" t="s">
        <v>311</v>
      </c>
      <c r="I205" s="1" t="s">
        <v>429</v>
      </c>
      <c r="J205" s="1"/>
    </row>
    <row r="206" spans="1:10" ht="12.75" x14ac:dyDescent="0.2">
      <c r="A206" s="1" t="s">
        <v>6</v>
      </c>
      <c r="B206" s="1" t="s">
        <v>308</v>
      </c>
      <c r="C206" s="1">
        <v>1</v>
      </c>
      <c r="D206" s="1" t="str">
        <f t="shared" si="3"/>
        <v>CP0500ITM086NEST</v>
      </c>
      <c r="E206" s="1" t="s">
        <v>430</v>
      </c>
      <c r="F206" s="1" t="s">
        <v>310</v>
      </c>
      <c r="G206" s="1" t="s">
        <v>101</v>
      </c>
      <c r="H206" s="1" t="s">
        <v>311</v>
      </c>
      <c r="I206" s="1" t="s">
        <v>431</v>
      </c>
      <c r="J206" s="1"/>
    </row>
    <row r="207" spans="1:10" ht="12.75" x14ac:dyDescent="0.2">
      <c r="A207" s="1" t="s">
        <v>6</v>
      </c>
      <c r="B207" s="1" t="s">
        <v>308</v>
      </c>
      <c r="C207" s="1">
        <v>1</v>
      </c>
      <c r="D207" s="1" t="str">
        <f t="shared" si="3"/>
        <v>CP0510ITM086NEST</v>
      </c>
      <c r="E207" s="1" t="s">
        <v>432</v>
      </c>
      <c r="F207" s="1" t="s">
        <v>310</v>
      </c>
      <c r="G207" s="1" t="s">
        <v>101</v>
      </c>
      <c r="H207" s="1" t="s">
        <v>311</v>
      </c>
      <c r="I207" s="1" t="s">
        <v>433</v>
      </c>
      <c r="J207" s="1"/>
    </row>
    <row r="208" spans="1:10" ht="12.75" x14ac:dyDescent="0.2">
      <c r="A208" s="1" t="s">
        <v>6</v>
      </c>
      <c r="B208" s="1" t="s">
        <v>308</v>
      </c>
      <c r="C208" s="1">
        <v>1</v>
      </c>
      <c r="D208" s="1" t="str">
        <f t="shared" si="3"/>
        <v>CP0511ITM086NEST</v>
      </c>
      <c r="E208" s="1" t="s">
        <v>434</v>
      </c>
      <c r="F208" s="1" t="s">
        <v>310</v>
      </c>
      <c r="G208" s="1" t="s">
        <v>101</v>
      </c>
      <c r="H208" s="1" t="s">
        <v>311</v>
      </c>
      <c r="I208" s="1" t="s">
        <v>435</v>
      </c>
      <c r="J208" s="1"/>
    </row>
    <row r="209" spans="1:10" ht="12.75" x14ac:dyDescent="0.2">
      <c r="A209" s="1" t="s">
        <v>6</v>
      </c>
      <c r="B209" s="1" t="s">
        <v>308</v>
      </c>
      <c r="C209" s="1">
        <v>1</v>
      </c>
      <c r="D209" s="1" t="str">
        <f t="shared" si="3"/>
        <v>CP0512ITM086NEST</v>
      </c>
      <c r="E209" s="1" t="s">
        <v>436</v>
      </c>
      <c r="F209" s="1" t="s">
        <v>310</v>
      </c>
      <c r="G209" s="1" t="s">
        <v>101</v>
      </c>
      <c r="H209" s="1" t="s">
        <v>311</v>
      </c>
      <c r="I209" s="1" t="s">
        <v>437</v>
      </c>
      <c r="J209" s="1"/>
    </row>
    <row r="210" spans="1:10" ht="12.75" x14ac:dyDescent="0.2">
      <c r="A210" s="1" t="s">
        <v>6</v>
      </c>
      <c r="B210" s="1" t="s">
        <v>308</v>
      </c>
      <c r="C210" s="1">
        <v>1</v>
      </c>
      <c r="D210" s="1" t="str">
        <f t="shared" si="3"/>
        <v>CP0513ITM086NEST</v>
      </c>
      <c r="E210" s="1" t="s">
        <v>438</v>
      </c>
      <c r="F210" s="1" t="s">
        <v>310</v>
      </c>
      <c r="G210" s="1" t="s">
        <v>101</v>
      </c>
      <c r="H210" s="1" t="s">
        <v>311</v>
      </c>
      <c r="I210" s="1" t="s">
        <v>439</v>
      </c>
      <c r="J210" s="1"/>
    </row>
    <row r="211" spans="1:10" ht="12.75" x14ac:dyDescent="0.2">
      <c r="A211" s="1" t="s">
        <v>6</v>
      </c>
      <c r="B211" s="1" t="s">
        <v>308</v>
      </c>
      <c r="C211" s="1">
        <v>1</v>
      </c>
      <c r="D211" s="1" t="str">
        <f t="shared" si="3"/>
        <v>CP0520ITM086NEST</v>
      </c>
      <c r="E211" s="1" t="s">
        <v>440</v>
      </c>
      <c r="F211" s="1" t="s">
        <v>310</v>
      </c>
      <c r="G211" s="1" t="s">
        <v>101</v>
      </c>
      <c r="H211" s="1" t="s">
        <v>311</v>
      </c>
      <c r="I211" s="1" t="s">
        <v>441</v>
      </c>
      <c r="J211" s="1"/>
    </row>
    <row r="212" spans="1:10" ht="12.75" x14ac:dyDescent="0.2">
      <c r="A212" s="1" t="s">
        <v>6</v>
      </c>
      <c r="B212" s="1" t="s">
        <v>308</v>
      </c>
      <c r="C212" s="1">
        <v>1</v>
      </c>
      <c r="D212" s="1" t="str">
        <f t="shared" si="3"/>
        <v>CP0530ITM086NEST</v>
      </c>
      <c r="E212" s="1" t="s">
        <v>442</v>
      </c>
      <c r="F212" s="1" t="s">
        <v>310</v>
      </c>
      <c r="G212" s="1" t="s">
        <v>101</v>
      </c>
      <c r="H212" s="1" t="s">
        <v>311</v>
      </c>
      <c r="I212" s="1" t="s">
        <v>443</v>
      </c>
      <c r="J212" s="1"/>
    </row>
    <row r="213" spans="1:10" ht="12.75" x14ac:dyDescent="0.2">
      <c r="A213" s="1" t="s">
        <v>6</v>
      </c>
      <c r="B213" s="1" t="s">
        <v>308</v>
      </c>
      <c r="C213" s="1">
        <v>1</v>
      </c>
      <c r="D213" s="1" t="str">
        <f t="shared" si="3"/>
        <v>CP0531ITM086NEST</v>
      </c>
      <c r="E213" s="1" t="s">
        <v>444</v>
      </c>
      <c r="F213" s="1" t="s">
        <v>310</v>
      </c>
      <c r="G213" s="1" t="s">
        <v>101</v>
      </c>
      <c r="H213" s="1" t="s">
        <v>311</v>
      </c>
      <c r="I213" s="1" t="s">
        <v>445</v>
      </c>
      <c r="J213" s="1"/>
    </row>
    <row r="214" spans="1:10" ht="12.75" x14ac:dyDescent="0.2">
      <c r="A214" s="1" t="s">
        <v>6</v>
      </c>
      <c r="B214" s="1" t="s">
        <v>308</v>
      </c>
      <c r="C214" s="1">
        <v>1</v>
      </c>
      <c r="D214" s="1" t="str">
        <f t="shared" si="3"/>
        <v>CP0533ITM086NEST</v>
      </c>
      <c r="E214" s="1" t="s">
        <v>446</v>
      </c>
      <c r="F214" s="1" t="s">
        <v>310</v>
      </c>
      <c r="G214" s="1" t="s">
        <v>101</v>
      </c>
      <c r="H214" s="1" t="s">
        <v>311</v>
      </c>
      <c r="I214" s="1" t="s">
        <v>447</v>
      </c>
      <c r="J214" s="1"/>
    </row>
    <row r="215" spans="1:10" ht="12.75" x14ac:dyDescent="0.2">
      <c r="A215" s="1" t="s">
        <v>6</v>
      </c>
      <c r="B215" s="1" t="s">
        <v>308</v>
      </c>
      <c r="C215" s="1">
        <v>1</v>
      </c>
      <c r="D215" s="1" t="str">
        <f t="shared" si="3"/>
        <v>CP0540ITM086NEST</v>
      </c>
      <c r="E215" s="1" t="s">
        <v>448</v>
      </c>
      <c r="F215" s="1" t="s">
        <v>310</v>
      </c>
      <c r="G215" s="1" t="s">
        <v>101</v>
      </c>
      <c r="H215" s="1" t="s">
        <v>311</v>
      </c>
      <c r="I215" s="1" t="s">
        <v>449</v>
      </c>
      <c r="J215" s="1"/>
    </row>
    <row r="216" spans="1:10" ht="12.75" x14ac:dyDescent="0.2">
      <c r="A216" s="1" t="s">
        <v>6</v>
      </c>
      <c r="B216" s="1" t="s">
        <v>308</v>
      </c>
      <c r="C216" s="1">
        <v>1</v>
      </c>
      <c r="D216" s="1" t="str">
        <f t="shared" si="3"/>
        <v>CP0550ITM086NEST</v>
      </c>
      <c r="E216" s="1" t="s">
        <v>450</v>
      </c>
      <c r="F216" s="1" t="s">
        <v>310</v>
      </c>
      <c r="G216" s="1" t="s">
        <v>101</v>
      </c>
      <c r="H216" s="1" t="s">
        <v>311</v>
      </c>
      <c r="I216" s="1" t="s">
        <v>451</v>
      </c>
      <c r="J216" s="1"/>
    </row>
    <row r="217" spans="1:10" ht="12.75" x14ac:dyDescent="0.2">
      <c r="A217" s="1" t="s">
        <v>6</v>
      </c>
      <c r="B217" s="1" t="s">
        <v>308</v>
      </c>
      <c r="C217" s="1">
        <v>1</v>
      </c>
      <c r="D217" s="1" t="str">
        <f t="shared" si="3"/>
        <v>CP0560ITM086NEST</v>
      </c>
      <c r="E217" s="1" t="s">
        <v>452</v>
      </c>
      <c r="F217" s="1" t="s">
        <v>310</v>
      </c>
      <c r="G217" s="1" t="s">
        <v>101</v>
      </c>
      <c r="H217" s="1" t="s">
        <v>311</v>
      </c>
      <c r="I217" s="1" t="s">
        <v>453</v>
      </c>
      <c r="J217" s="1"/>
    </row>
    <row r="218" spans="1:10" ht="12.75" x14ac:dyDescent="0.2">
      <c r="A218" s="1" t="s">
        <v>6</v>
      </c>
      <c r="B218" s="1" t="s">
        <v>308</v>
      </c>
      <c r="C218" s="1">
        <v>1</v>
      </c>
      <c r="D218" s="1" t="str">
        <f t="shared" si="3"/>
        <v>CP0561ITM086NEST</v>
      </c>
      <c r="E218" s="1" t="s">
        <v>454</v>
      </c>
      <c r="F218" s="1" t="s">
        <v>310</v>
      </c>
      <c r="G218" s="1" t="s">
        <v>101</v>
      </c>
      <c r="H218" s="1" t="s">
        <v>311</v>
      </c>
      <c r="I218" s="1" t="s">
        <v>455</v>
      </c>
      <c r="J218" s="1"/>
    </row>
    <row r="219" spans="1:10" ht="12.75" x14ac:dyDescent="0.2">
      <c r="A219" s="1" t="s">
        <v>6</v>
      </c>
      <c r="B219" s="1" t="s">
        <v>308</v>
      </c>
      <c r="C219" s="1">
        <v>1</v>
      </c>
      <c r="D219" s="1" t="str">
        <f t="shared" si="3"/>
        <v>CP0562ITM086NEST</v>
      </c>
      <c r="E219" s="1" t="s">
        <v>456</v>
      </c>
      <c r="F219" s="1" t="s">
        <v>310</v>
      </c>
      <c r="G219" s="1" t="s">
        <v>101</v>
      </c>
      <c r="H219" s="1" t="s">
        <v>311</v>
      </c>
      <c r="I219" s="1" t="s">
        <v>457</v>
      </c>
      <c r="J219" s="1"/>
    </row>
    <row r="220" spans="1:10" ht="12.75" x14ac:dyDescent="0.2">
      <c r="A220" s="1" t="s">
        <v>6</v>
      </c>
      <c r="B220" s="1" t="s">
        <v>308</v>
      </c>
      <c r="C220" s="1">
        <v>1</v>
      </c>
      <c r="D220" s="1" t="str">
        <f t="shared" si="3"/>
        <v>CP0600ITM086NEST</v>
      </c>
      <c r="E220" s="1" t="s">
        <v>458</v>
      </c>
      <c r="F220" s="1" t="s">
        <v>310</v>
      </c>
      <c r="G220" s="1" t="s">
        <v>101</v>
      </c>
      <c r="H220" s="1" t="s">
        <v>311</v>
      </c>
      <c r="I220" s="1" t="s">
        <v>459</v>
      </c>
      <c r="J220" s="1"/>
    </row>
    <row r="221" spans="1:10" ht="12.75" x14ac:dyDescent="0.2">
      <c r="A221" s="1" t="s">
        <v>6</v>
      </c>
      <c r="B221" s="1" t="s">
        <v>308</v>
      </c>
      <c r="C221" s="1">
        <v>1</v>
      </c>
      <c r="D221" s="1" t="str">
        <f t="shared" si="3"/>
        <v>CP0610ITM086NEST</v>
      </c>
      <c r="E221" s="1" t="s">
        <v>460</v>
      </c>
      <c r="F221" s="1" t="s">
        <v>310</v>
      </c>
      <c r="G221" s="1" t="s">
        <v>101</v>
      </c>
      <c r="H221" s="1" t="s">
        <v>311</v>
      </c>
      <c r="I221" s="1" t="s">
        <v>461</v>
      </c>
      <c r="J221" s="1"/>
    </row>
    <row r="222" spans="1:10" ht="12.75" x14ac:dyDescent="0.2">
      <c r="A222" s="1" t="s">
        <v>6</v>
      </c>
      <c r="B222" s="1" t="s">
        <v>308</v>
      </c>
      <c r="C222" s="1">
        <v>1</v>
      </c>
      <c r="D222" s="1" t="str">
        <f t="shared" si="3"/>
        <v>CP0611ITM086NEST</v>
      </c>
      <c r="E222" s="1" t="s">
        <v>462</v>
      </c>
      <c r="F222" s="1" t="s">
        <v>310</v>
      </c>
      <c r="G222" s="1" t="s">
        <v>101</v>
      </c>
      <c r="H222" s="1" t="s">
        <v>311</v>
      </c>
      <c r="I222" s="1" t="s">
        <v>463</v>
      </c>
      <c r="J222" s="1"/>
    </row>
    <row r="223" spans="1:10" ht="12.75" x14ac:dyDescent="0.2">
      <c r="A223" s="1" t="s">
        <v>6</v>
      </c>
      <c r="B223" s="1" t="s">
        <v>308</v>
      </c>
      <c r="C223" s="1">
        <v>1</v>
      </c>
      <c r="D223" s="1" t="str">
        <f t="shared" si="3"/>
        <v>CP0612ITM086NEST</v>
      </c>
      <c r="E223" s="1" t="s">
        <v>464</v>
      </c>
      <c r="F223" s="1" t="s">
        <v>310</v>
      </c>
      <c r="G223" s="1" t="s">
        <v>101</v>
      </c>
      <c r="H223" s="1" t="s">
        <v>311</v>
      </c>
      <c r="I223" s="1" t="s">
        <v>465</v>
      </c>
      <c r="J223" s="1"/>
    </row>
    <row r="224" spans="1:10" ht="12.75" x14ac:dyDescent="0.2">
      <c r="A224" s="1" t="s">
        <v>6</v>
      </c>
      <c r="B224" s="1" t="s">
        <v>308</v>
      </c>
      <c r="C224" s="1">
        <v>1</v>
      </c>
      <c r="D224" s="1" t="str">
        <f t="shared" si="3"/>
        <v>CP0620ITM086NEST</v>
      </c>
      <c r="E224" s="1" t="s">
        <v>466</v>
      </c>
      <c r="F224" s="1" t="s">
        <v>310</v>
      </c>
      <c r="G224" s="1" t="s">
        <v>101</v>
      </c>
      <c r="H224" s="1" t="s">
        <v>311</v>
      </c>
      <c r="I224" s="1" t="s">
        <v>467</v>
      </c>
      <c r="J224" s="1"/>
    </row>
    <row r="225" spans="1:10" ht="12.75" x14ac:dyDescent="0.2">
      <c r="A225" s="1" t="s">
        <v>6</v>
      </c>
      <c r="B225" s="1" t="s">
        <v>308</v>
      </c>
      <c r="C225" s="1">
        <v>1</v>
      </c>
      <c r="D225" s="1" t="str">
        <f t="shared" si="3"/>
        <v>CP0621ITM086NEST</v>
      </c>
      <c r="E225" s="1" t="s">
        <v>468</v>
      </c>
      <c r="F225" s="1" t="s">
        <v>310</v>
      </c>
      <c r="G225" s="1" t="s">
        <v>101</v>
      </c>
      <c r="H225" s="1" t="s">
        <v>311</v>
      </c>
      <c r="I225" s="1" t="s">
        <v>469</v>
      </c>
      <c r="J225" s="1"/>
    </row>
    <row r="226" spans="1:10" ht="12.75" x14ac:dyDescent="0.2">
      <c r="A226" s="1" t="s">
        <v>6</v>
      </c>
      <c r="B226" s="1" t="s">
        <v>308</v>
      </c>
      <c r="C226" s="1">
        <v>1</v>
      </c>
      <c r="D226" s="1" t="str">
        <f t="shared" si="3"/>
        <v>CP0622ITM086NEST</v>
      </c>
      <c r="E226" s="1" t="s">
        <v>470</v>
      </c>
      <c r="F226" s="1" t="s">
        <v>310</v>
      </c>
      <c r="G226" s="1" t="s">
        <v>101</v>
      </c>
      <c r="H226" s="1" t="s">
        <v>311</v>
      </c>
      <c r="I226" s="1" t="s">
        <v>471</v>
      </c>
      <c r="J226" s="1"/>
    </row>
    <row r="227" spans="1:10" ht="12.75" x14ac:dyDescent="0.2">
      <c r="A227" s="1" t="s">
        <v>6</v>
      </c>
      <c r="B227" s="1" t="s">
        <v>308</v>
      </c>
      <c r="C227" s="1">
        <v>1</v>
      </c>
      <c r="D227" s="1" t="str">
        <f t="shared" si="3"/>
        <v>CP0630ITM086NEST</v>
      </c>
      <c r="E227" s="1" t="s">
        <v>472</v>
      </c>
      <c r="F227" s="1" t="s">
        <v>310</v>
      </c>
      <c r="G227" s="1" t="s">
        <v>101</v>
      </c>
      <c r="H227" s="1" t="s">
        <v>311</v>
      </c>
      <c r="I227" s="1" t="s">
        <v>473</v>
      </c>
      <c r="J227" s="1"/>
    </row>
    <row r="228" spans="1:10" ht="12.75" x14ac:dyDescent="0.2">
      <c r="A228" s="1" t="s">
        <v>6</v>
      </c>
      <c r="B228" s="1" t="s">
        <v>308</v>
      </c>
      <c r="C228" s="1">
        <v>1</v>
      </c>
      <c r="D228" s="1" t="str">
        <f t="shared" si="3"/>
        <v>CP0700ITM086NEST</v>
      </c>
      <c r="E228" s="1" t="s">
        <v>474</v>
      </c>
      <c r="F228" s="1" t="s">
        <v>310</v>
      </c>
      <c r="G228" s="1" t="s">
        <v>101</v>
      </c>
      <c r="H228" s="1" t="s">
        <v>311</v>
      </c>
      <c r="I228" s="1" t="s">
        <v>475</v>
      </c>
      <c r="J228" s="1"/>
    </row>
    <row r="229" spans="1:10" ht="12.75" x14ac:dyDescent="0.2">
      <c r="A229" s="1" t="s">
        <v>6</v>
      </c>
      <c r="B229" s="1" t="s">
        <v>308</v>
      </c>
      <c r="C229" s="1">
        <v>1</v>
      </c>
      <c r="D229" s="1" t="str">
        <f t="shared" si="3"/>
        <v>CP0710ITM086NEST</v>
      </c>
      <c r="E229" s="1" t="s">
        <v>476</v>
      </c>
      <c r="F229" s="1" t="s">
        <v>310</v>
      </c>
      <c r="G229" s="1" t="s">
        <v>101</v>
      </c>
      <c r="H229" s="1" t="s">
        <v>311</v>
      </c>
      <c r="I229" s="1" t="s">
        <v>477</v>
      </c>
      <c r="J229" s="1"/>
    </row>
    <row r="230" spans="1:10" ht="12.75" x14ac:dyDescent="0.2">
      <c r="A230" s="1" t="s">
        <v>6</v>
      </c>
      <c r="B230" s="1" t="s">
        <v>308</v>
      </c>
      <c r="C230" s="1">
        <v>1</v>
      </c>
      <c r="D230" s="1" t="str">
        <f t="shared" si="3"/>
        <v>CP0711ITM086NEST</v>
      </c>
      <c r="E230" s="1" t="s">
        <v>478</v>
      </c>
      <c r="F230" s="1" t="s">
        <v>310</v>
      </c>
      <c r="G230" s="1" t="s">
        <v>101</v>
      </c>
      <c r="H230" s="1" t="s">
        <v>311</v>
      </c>
      <c r="I230" s="1" t="s">
        <v>479</v>
      </c>
      <c r="J230" s="1"/>
    </row>
    <row r="231" spans="1:10" ht="12.75" x14ac:dyDescent="0.2">
      <c r="A231" s="1" t="s">
        <v>6</v>
      </c>
      <c r="B231" s="1" t="s">
        <v>308</v>
      </c>
      <c r="C231" s="1">
        <v>1</v>
      </c>
      <c r="D231" s="1" t="str">
        <f t="shared" si="3"/>
        <v>CP0712ITM086NEST</v>
      </c>
      <c r="E231" s="1" t="s">
        <v>480</v>
      </c>
      <c r="F231" s="1" t="s">
        <v>310</v>
      </c>
      <c r="G231" s="1" t="s">
        <v>101</v>
      </c>
      <c r="H231" s="1" t="s">
        <v>311</v>
      </c>
      <c r="I231" s="1" t="s">
        <v>481</v>
      </c>
      <c r="J231" s="1"/>
    </row>
    <row r="232" spans="1:10" ht="12.75" x14ac:dyDescent="0.2">
      <c r="A232" s="1" t="s">
        <v>6</v>
      </c>
      <c r="B232" s="1" t="s">
        <v>308</v>
      </c>
      <c r="C232" s="1">
        <v>1</v>
      </c>
      <c r="D232" s="1" t="str">
        <f t="shared" si="3"/>
        <v>CP0720ITM086NEST</v>
      </c>
      <c r="E232" s="1" t="s">
        <v>482</v>
      </c>
      <c r="F232" s="1" t="s">
        <v>310</v>
      </c>
      <c r="G232" s="1" t="s">
        <v>101</v>
      </c>
      <c r="H232" s="1" t="s">
        <v>311</v>
      </c>
      <c r="I232" s="1" t="s">
        <v>483</v>
      </c>
      <c r="J232" s="1"/>
    </row>
    <row r="233" spans="1:10" ht="12.75" x14ac:dyDescent="0.2">
      <c r="A233" s="1" t="s">
        <v>6</v>
      </c>
      <c r="B233" s="1" t="s">
        <v>308</v>
      </c>
      <c r="C233" s="1">
        <v>1</v>
      </c>
      <c r="D233" s="1" t="str">
        <f t="shared" si="3"/>
        <v>CP0721ITM086NEST</v>
      </c>
      <c r="E233" s="1" t="s">
        <v>484</v>
      </c>
      <c r="F233" s="1" t="s">
        <v>310</v>
      </c>
      <c r="G233" s="1" t="s">
        <v>101</v>
      </c>
      <c r="H233" s="1" t="s">
        <v>311</v>
      </c>
      <c r="I233" s="1" t="s">
        <v>485</v>
      </c>
      <c r="J233" s="1"/>
    </row>
    <row r="234" spans="1:10" ht="12.75" x14ac:dyDescent="0.2">
      <c r="A234" s="1" t="s">
        <v>6</v>
      </c>
      <c r="B234" s="1" t="s">
        <v>308</v>
      </c>
      <c r="C234" s="1">
        <v>1</v>
      </c>
      <c r="D234" s="1" t="str">
        <f t="shared" si="3"/>
        <v>CP0722ITM086NEST</v>
      </c>
      <c r="E234" s="1" t="s">
        <v>486</v>
      </c>
      <c r="F234" s="1" t="s">
        <v>310</v>
      </c>
      <c r="G234" s="1" t="s">
        <v>101</v>
      </c>
      <c r="H234" s="1" t="s">
        <v>311</v>
      </c>
      <c r="I234" s="1" t="s">
        <v>487</v>
      </c>
      <c r="J234" s="1"/>
    </row>
    <row r="235" spans="1:10" ht="12.75" x14ac:dyDescent="0.2">
      <c r="A235" s="1" t="s">
        <v>6</v>
      </c>
      <c r="B235" s="1" t="s">
        <v>308</v>
      </c>
      <c r="C235" s="1">
        <v>1</v>
      </c>
      <c r="D235" s="1" t="str">
        <f t="shared" si="3"/>
        <v>CP0723ITM086NEST</v>
      </c>
      <c r="E235" s="1" t="s">
        <v>488</v>
      </c>
      <c r="F235" s="1" t="s">
        <v>310</v>
      </c>
      <c r="G235" s="1" t="s">
        <v>101</v>
      </c>
      <c r="H235" s="1" t="s">
        <v>311</v>
      </c>
      <c r="I235" s="1" t="s">
        <v>489</v>
      </c>
      <c r="J235" s="1"/>
    </row>
    <row r="236" spans="1:10" ht="12.75" x14ac:dyDescent="0.2">
      <c r="A236" s="1" t="s">
        <v>6</v>
      </c>
      <c r="B236" s="1" t="s">
        <v>308</v>
      </c>
      <c r="C236" s="1">
        <v>1</v>
      </c>
      <c r="D236" s="1" t="str">
        <f t="shared" si="3"/>
        <v>CP0724ITM086NEST</v>
      </c>
      <c r="E236" s="1" t="s">
        <v>490</v>
      </c>
      <c r="F236" s="1" t="s">
        <v>310</v>
      </c>
      <c r="G236" s="1" t="s">
        <v>101</v>
      </c>
      <c r="H236" s="1" t="s">
        <v>311</v>
      </c>
      <c r="I236" s="1" t="s">
        <v>491</v>
      </c>
      <c r="J236" s="1"/>
    </row>
    <row r="237" spans="1:10" ht="12.75" x14ac:dyDescent="0.2">
      <c r="A237" s="1" t="s">
        <v>6</v>
      </c>
      <c r="B237" s="1" t="s">
        <v>308</v>
      </c>
      <c r="C237" s="1">
        <v>1</v>
      </c>
      <c r="D237" s="1" t="str">
        <f t="shared" si="3"/>
        <v>CP0730ITM086NEST</v>
      </c>
      <c r="E237" s="1" t="s">
        <v>492</v>
      </c>
      <c r="F237" s="1" t="s">
        <v>310</v>
      </c>
      <c r="G237" s="1" t="s">
        <v>101</v>
      </c>
      <c r="H237" s="1" t="s">
        <v>311</v>
      </c>
      <c r="I237" s="1" t="s">
        <v>493</v>
      </c>
      <c r="J237" s="1"/>
    </row>
    <row r="238" spans="1:10" ht="12.75" x14ac:dyDescent="0.2">
      <c r="A238" s="1" t="s">
        <v>6</v>
      </c>
      <c r="B238" s="1" t="s">
        <v>308</v>
      </c>
      <c r="C238" s="1">
        <v>1</v>
      </c>
      <c r="D238" s="1" t="str">
        <f t="shared" si="3"/>
        <v>CP0731ITM086NEST</v>
      </c>
      <c r="E238" s="1" t="s">
        <v>494</v>
      </c>
      <c r="F238" s="1" t="s">
        <v>310</v>
      </c>
      <c r="G238" s="1" t="s">
        <v>101</v>
      </c>
      <c r="H238" s="1" t="s">
        <v>311</v>
      </c>
      <c r="I238" s="1" t="s">
        <v>495</v>
      </c>
      <c r="J238" s="1"/>
    </row>
    <row r="239" spans="1:10" ht="12.75" x14ac:dyDescent="0.2">
      <c r="A239" s="1" t="s">
        <v>6</v>
      </c>
      <c r="B239" s="1" t="s">
        <v>308</v>
      </c>
      <c r="C239" s="1">
        <v>1</v>
      </c>
      <c r="D239" s="1" t="str">
        <f t="shared" si="3"/>
        <v>CP0732ITM086NEST</v>
      </c>
      <c r="E239" s="1" t="s">
        <v>496</v>
      </c>
      <c r="F239" s="1" t="s">
        <v>310</v>
      </c>
      <c r="G239" s="1" t="s">
        <v>101</v>
      </c>
      <c r="H239" s="1" t="s">
        <v>311</v>
      </c>
      <c r="I239" s="1" t="s">
        <v>497</v>
      </c>
      <c r="J239" s="1"/>
    </row>
    <row r="240" spans="1:10" ht="12.75" x14ac:dyDescent="0.2">
      <c r="A240" s="1" t="s">
        <v>6</v>
      </c>
      <c r="B240" s="1" t="s">
        <v>308</v>
      </c>
      <c r="C240" s="1">
        <v>1</v>
      </c>
      <c r="D240" s="1" t="str">
        <f t="shared" si="3"/>
        <v>CP0733ITM086NEST</v>
      </c>
      <c r="E240" s="1" t="s">
        <v>498</v>
      </c>
      <c r="F240" s="1" t="s">
        <v>310</v>
      </c>
      <c r="G240" s="1" t="s">
        <v>101</v>
      </c>
      <c r="H240" s="1" t="s">
        <v>311</v>
      </c>
      <c r="I240" s="1" t="s">
        <v>499</v>
      </c>
      <c r="J240" s="1"/>
    </row>
    <row r="241" spans="1:10" ht="12.75" x14ac:dyDescent="0.2">
      <c r="A241" s="1" t="s">
        <v>6</v>
      </c>
      <c r="B241" s="1" t="s">
        <v>308</v>
      </c>
      <c r="C241" s="1">
        <v>1</v>
      </c>
      <c r="D241" s="1" t="str">
        <f t="shared" si="3"/>
        <v>CP0734ITM086NEST</v>
      </c>
      <c r="E241" s="1" t="s">
        <v>500</v>
      </c>
      <c r="F241" s="1" t="s">
        <v>310</v>
      </c>
      <c r="G241" s="1" t="s">
        <v>101</v>
      </c>
      <c r="H241" s="1" t="s">
        <v>311</v>
      </c>
      <c r="I241" s="1" t="s">
        <v>501</v>
      </c>
      <c r="J241" s="1"/>
    </row>
    <row r="242" spans="1:10" ht="12.75" x14ac:dyDescent="0.2">
      <c r="A242" s="1" t="s">
        <v>6</v>
      </c>
      <c r="B242" s="1" t="s">
        <v>308</v>
      </c>
      <c r="C242" s="1">
        <v>1</v>
      </c>
      <c r="D242" s="1" t="str">
        <f t="shared" si="3"/>
        <v>CP0735ITM086NEST</v>
      </c>
      <c r="E242" s="1" t="s">
        <v>502</v>
      </c>
      <c r="F242" s="1" t="s">
        <v>310</v>
      </c>
      <c r="G242" s="1" t="s">
        <v>101</v>
      </c>
      <c r="H242" s="1" t="s">
        <v>311</v>
      </c>
      <c r="I242" s="1" t="s">
        <v>503</v>
      </c>
      <c r="J242" s="1"/>
    </row>
    <row r="243" spans="1:10" ht="12.75" x14ac:dyDescent="0.2">
      <c r="A243" s="1" t="s">
        <v>6</v>
      </c>
      <c r="B243" s="1" t="s">
        <v>308</v>
      </c>
      <c r="C243" s="1">
        <v>1</v>
      </c>
      <c r="D243" s="1" t="str">
        <f t="shared" si="3"/>
        <v>CP0736ITM086NEST</v>
      </c>
      <c r="E243" s="1" t="s">
        <v>504</v>
      </c>
      <c r="F243" s="1" t="s">
        <v>310</v>
      </c>
      <c r="G243" s="1" t="s">
        <v>101</v>
      </c>
      <c r="H243" s="1" t="s">
        <v>311</v>
      </c>
      <c r="I243" s="1" t="s">
        <v>505</v>
      </c>
      <c r="J243" s="1"/>
    </row>
    <row r="244" spans="1:10" ht="12.75" x14ac:dyDescent="0.2">
      <c r="A244" s="1" t="s">
        <v>6</v>
      </c>
      <c r="B244" s="1" t="s">
        <v>308</v>
      </c>
      <c r="C244" s="1">
        <v>1</v>
      </c>
      <c r="D244" s="1" t="str">
        <f t="shared" si="3"/>
        <v>CP0800ITM086NEST</v>
      </c>
      <c r="E244" s="1" t="s">
        <v>506</v>
      </c>
      <c r="F244" s="1" t="s">
        <v>310</v>
      </c>
      <c r="G244" s="1" t="s">
        <v>101</v>
      </c>
      <c r="H244" s="1" t="s">
        <v>311</v>
      </c>
      <c r="I244" s="1" t="s">
        <v>507</v>
      </c>
      <c r="J244" s="1"/>
    </row>
    <row r="245" spans="1:10" ht="12.75" x14ac:dyDescent="0.2">
      <c r="A245" s="1" t="s">
        <v>6</v>
      </c>
      <c r="B245" s="1" t="s">
        <v>308</v>
      </c>
      <c r="C245" s="1">
        <v>1</v>
      </c>
      <c r="D245" s="1" t="str">
        <f t="shared" si="3"/>
        <v>CP0810ITM086NEST</v>
      </c>
      <c r="E245" s="1" t="s">
        <v>508</v>
      </c>
      <c r="F245" s="1" t="s">
        <v>310</v>
      </c>
      <c r="G245" s="1" t="s">
        <v>101</v>
      </c>
      <c r="H245" s="1" t="s">
        <v>311</v>
      </c>
      <c r="I245" s="1" t="s">
        <v>509</v>
      </c>
      <c r="J245" s="1"/>
    </row>
    <row r="246" spans="1:10" ht="12.75" x14ac:dyDescent="0.2">
      <c r="A246" s="1" t="s">
        <v>6</v>
      </c>
      <c r="B246" s="1" t="s">
        <v>308</v>
      </c>
      <c r="C246" s="1">
        <v>1</v>
      </c>
      <c r="D246" s="1" t="str">
        <f t="shared" si="3"/>
        <v>CP0820ITM086NEST</v>
      </c>
      <c r="E246" s="1" t="s">
        <v>510</v>
      </c>
      <c r="F246" s="1" t="s">
        <v>310</v>
      </c>
      <c r="G246" s="1" t="s">
        <v>101</v>
      </c>
      <c r="H246" s="1" t="s">
        <v>311</v>
      </c>
      <c r="I246" s="1" t="s">
        <v>511</v>
      </c>
      <c r="J246" s="1"/>
    </row>
    <row r="247" spans="1:10" ht="12.75" x14ac:dyDescent="0.2">
      <c r="A247" s="1" t="s">
        <v>6</v>
      </c>
      <c r="B247" s="1" t="s">
        <v>308</v>
      </c>
      <c r="C247" s="1">
        <v>1</v>
      </c>
      <c r="D247" s="1" t="str">
        <f t="shared" si="3"/>
        <v>CP0830ITM086NEST</v>
      </c>
      <c r="E247" s="1" t="s">
        <v>512</v>
      </c>
      <c r="F247" s="1" t="s">
        <v>310</v>
      </c>
      <c r="G247" s="1" t="s">
        <v>101</v>
      </c>
      <c r="H247" s="1" t="s">
        <v>311</v>
      </c>
      <c r="I247" s="1" t="s">
        <v>513</v>
      </c>
      <c r="J247" s="1"/>
    </row>
    <row r="248" spans="1:10" ht="12.75" x14ac:dyDescent="0.2">
      <c r="A248" s="1" t="s">
        <v>6</v>
      </c>
      <c r="B248" s="1" t="s">
        <v>308</v>
      </c>
      <c r="C248" s="1">
        <v>1</v>
      </c>
      <c r="D248" s="1" t="str">
        <f t="shared" si="3"/>
        <v>CP0900ITM086NEST</v>
      </c>
      <c r="E248" s="1" t="s">
        <v>514</v>
      </c>
      <c r="F248" s="1" t="s">
        <v>310</v>
      </c>
      <c r="G248" s="1" t="s">
        <v>101</v>
      </c>
      <c r="H248" s="1" t="s">
        <v>311</v>
      </c>
      <c r="I248" s="1" t="s">
        <v>515</v>
      </c>
      <c r="J248" s="1"/>
    </row>
    <row r="249" spans="1:10" ht="12.75" x14ac:dyDescent="0.2">
      <c r="A249" s="1" t="s">
        <v>6</v>
      </c>
      <c r="B249" s="1" t="s">
        <v>308</v>
      </c>
      <c r="C249" s="1">
        <v>1</v>
      </c>
      <c r="D249" s="1" t="str">
        <f t="shared" si="3"/>
        <v>CP0910ITM086NEST</v>
      </c>
      <c r="E249" s="1" t="s">
        <v>516</v>
      </c>
      <c r="F249" s="1" t="s">
        <v>310</v>
      </c>
      <c r="G249" s="1" t="s">
        <v>101</v>
      </c>
      <c r="H249" s="1" t="s">
        <v>311</v>
      </c>
      <c r="I249" s="1" t="s">
        <v>517</v>
      </c>
      <c r="J249" s="1"/>
    </row>
    <row r="250" spans="1:10" ht="12.75" x14ac:dyDescent="0.2">
      <c r="A250" s="1" t="s">
        <v>6</v>
      </c>
      <c r="B250" s="1" t="s">
        <v>308</v>
      </c>
      <c r="C250" s="1">
        <v>1</v>
      </c>
      <c r="D250" s="1" t="str">
        <f t="shared" si="3"/>
        <v>CP0911ITM086NEST</v>
      </c>
      <c r="E250" s="1" t="s">
        <v>518</v>
      </c>
      <c r="F250" s="1" t="s">
        <v>310</v>
      </c>
      <c r="G250" s="1" t="s">
        <v>101</v>
      </c>
      <c r="H250" s="1" t="s">
        <v>311</v>
      </c>
      <c r="I250" s="1" t="s">
        <v>519</v>
      </c>
      <c r="J250" s="1"/>
    </row>
    <row r="251" spans="1:10" ht="12.75" x14ac:dyDescent="0.2">
      <c r="A251" s="1" t="s">
        <v>6</v>
      </c>
      <c r="B251" s="1" t="s">
        <v>308</v>
      </c>
      <c r="C251" s="1">
        <v>1</v>
      </c>
      <c r="D251" s="1" t="str">
        <f t="shared" si="3"/>
        <v>CP0912ITM086NEST</v>
      </c>
      <c r="E251" s="1" t="s">
        <v>520</v>
      </c>
      <c r="F251" s="1" t="s">
        <v>310</v>
      </c>
      <c r="G251" s="1" t="s">
        <v>101</v>
      </c>
      <c r="H251" s="1" t="s">
        <v>311</v>
      </c>
      <c r="I251" s="1" t="s">
        <v>521</v>
      </c>
      <c r="J251" s="1"/>
    </row>
    <row r="252" spans="1:10" ht="12.75" x14ac:dyDescent="0.2">
      <c r="A252" s="1" t="s">
        <v>6</v>
      </c>
      <c r="B252" s="1" t="s">
        <v>308</v>
      </c>
      <c r="C252" s="1">
        <v>1</v>
      </c>
      <c r="D252" s="1" t="str">
        <f t="shared" si="3"/>
        <v>CP0913ITM086NEST</v>
      </c>
      <c r="E252" s="1" t="s">
        <v>522</v>
      </c>
      <c r="F252" s="1" t="s">
        <v>310</v>
      </c>
      <c r="G252" s="1" t="s">
        <v>101</v>
      </c>
      <c r="H252" s="1" t="s">
        <v>311</v>
      </c>
      <c r="I252" s="1" t="s">
        <v>523</v>
      </c>
      <c r="J252" s="1"/>
    </row>
    <row r="253" spans="1:10" ht="12.75" x14ac:dyDescent="0.2">
      <c r="A253" s="1" t="s">
        <v>6</v>
      </c>
      <c r="B253" s="1" t="s">
        <v>308</v>
      </c>
      <c r="C253" s="1">
        <v>1</v>
      </c>
      <c r="D253" s="1" t="str">
        <f t="shared" si="3"/>
        <v>CP0914ITM086NEST</v>
      </c>
      <c r="E253" s="1" t="s">
        <v>524</v>
      </c>
      <c r="F253" s="1" t="s">
        <v>310</v>
      </c>
      <c r="G253" s="1" t="s">
        <v>101</v>
      </c>
      <c r="H253" s="1" t="s">
        <v>311</v>
      </c>
      <c r="I253" s="1" t="s">
        <v>525</v>
      </c>
      <c r="J253" s="1"/>
    </row>
    <row r="254" spans="1:10" ht="12.75" x14ac:dyDescent="0.2">
      <c r="A254" s="1" t="s">
        <v>6</v>
      </c>
      <c r="B254" s="1" t="s">
        <v>308</v>
      </c>
      <c r="C254" s="1">
        <v>1</v>
      </c>
      <c r="D254" s="1" t="str">
        <f t="shared" si="3"/>
        <v>CP0915ITM086NEST</v>
      </c>
      <c r="E254" s="1" t="s">
        <v>526</v>
      </c>
      <c r="F254" s="1" t="s">
        <v>310</v>
      </c>
      <c r="G254" s="1" t="s">
        <v>101</v>
      </c>
      <c r="H254" s="1" t="s">
        <v>311</v>
      </c>
      <c r="I254" s="1" t="s">
        <v>527</v>
      </c>
      <c r="J254" s="1"/>
    </row>
    <row r="255" spans="1:10" ht="12.75" x14ac:dyDescent="0.2">
      <c r="A255" s="1" t="s">
        <v>6</v>
      </c>
      <c r="B255" s="1" t="s">
        <v>308</v>
      </c>
      <c r="C255" s="1">
        <v>1</v>
      </c>
      <c r="D255" s="1" t="str">
        <f t="shared" si="3"/>
        <v>CP0920ITM086NEST</v>
      </c>
      <c r="E255" s="1" t="s">
        <v>528</v>
      </c>
      <c r="F255" s="1" t="s">
        <v>310</v>
      </c>
      <c r="G255" s="1" t="s">
        <v>101</v>
      </c>
      <c r="H255" s="1" t="s">
        <v>311</v>
      </c>
      <c r="I255" s="1" t="s">
        <v>529</v>
      </c>
      <c r="J255" s="1"/>
    </row>
    <row r="256" spans="1:10" ht="12.75" x14ac:dyDescent="0.2">
      <c r="A256" s="1" t="s">
        <v>6</v>
      </c>
      <c r="B256" s="1" t="s">
        <v>308</v>
      </c>
      <c r="C256" s="1">
        <v>1</v>
      </c>
      <c r="D256" s="1" t="str">
        <f t="shared" si="3"/>
        <v>CP0921ITM086NEST</v>
      </c>
      <c r="E256" s="1" t="s">
        <v>530</v>
      </c>
      <c r="F256" s="1" t="s">
        <v>310</v>
      </c>
      <c r="G256" s="1" t="s">
        <v>101</v>
      </c>
      <c r="H256" s="1" t="s">
        <v>311</v>
      </c>
      <c r="I256" s="1" t="s">
        <v>531</v>
      </c>
      <c r="J256" s="1"/>
    </row>
    <row r="257" spans="1:10" ht="12.75" x14ac:dyDescent="0.2">
      <c r="A257" s="1" t="s">
        <v>6</v>
      </c>
      <c r="B257" s="1" t="s">
        <v>308</v>
      </c>
      <c r="C257" s="1">
        <v>1</v>
      </c>
      <c r="D257" s="1" t="str">
        <f t="shared" si="3"/>
        <v>CP0930ITM086NEST</v>
      </c>
      <c r="E257" s="1" t="s">
        <v>532</v>
      </c>
      <c r="F257" s="1" t="s">
        <v>310</v>
      </c>
      <c r="G257" s="1" t="s">
        <v>101</v>
      </c>
      <c r="H257" s="1" t="s">
        <v>311</v>
      </c>
      <c r="I257" s="1" t="s">
        <v>533</v>
      </c>
      <c r="J257" s="1"/>
    </row>
    <row r="258" spans="1:10" ht="12.75" x14ac:dyDescent="0.2">
      <c r="A258" s="1" t="s">
        <v>6</v>
      </c>
      <c r="B258" s="1" t="s">
        <v>308</v>
      </c>
      <c r="C258" s="1">
        <v>1</v>
      </c>
      <c r="D258" s="1" t="str">
        <f t="shared" si="3"/>
        <v>CP0931ITM086NEST</v>
      </c>
      <c r="E258" s="1" t="s">
        <v>534</v>
      </c>
      <c r="F258" s="1" t="s">
        <v>310</v>
      </c>
      <c r="G258" s="1" t="s">
        <v>101</v>
      </c>
      <c r="H258" s="1" t="s">
        <v>311</v>
      </c>
      <c r="I258" s="1" t="s">
        <v>535</v>
      </c>
      <c r="J258" s="1"/>
    </row>
    <row r="259" spans="1:10" ht="12.75" x14ac:dyDescent="0.2">
      <c r="A259" s="1" t="s">
        <v>6</v>
      </c>
      <c r="B259" s="1" t="s">
        <v>308</v>
      </c>
      <c r="C259" s="1">
        <v>1</v>
      </c>
      <c r="D259" s="1" t="str">
        <f t="shared" ref="D259:D322" si="4">E259</f>
        <v>CP0932ITM086NEST</v>
      </c>
      <c r="E259" s="1" t="s">
        <v>536</v>
      </c>
      <c r="F259" s="1" t="s">
        <v>310</v>
      </c>
      <c r="G259" s="1" t="s">
        <v>101</v>
      </c>
      <c r="H259" s="1" t="s">
        <v>311</v>
      </c>
      <c r="I259" s="1" t="s">
        <v>537</v>
      </c>
      <c r="J259" s="1"/>
    </row>
    <row r="260" spans="1:10" ht="12.75" x14ac:dyDescent="0.2">
      <c r="A260" s="1" t="s">
        <v>6</v>
      </c>
      <c r="B260" s="1" t="s">
        <v>308</v>
      </c>
      <c r="C260" s="1">
        <v>1</v>
      </c>
      <c r="D260" s="1" t="str">
        <f t="shared" si="4"/>
        <v>CP0933ITM086NEST</v>
      </c>
      <c r="E260" s="1" t="s">
        <v>538</v>
      </c>
      <c r="F260" s="1" t="s">
        <v>310</v>
      </c>
      <c r="G260" s="1" t="s">
        <v>101</v>
      </c>
      <c r="H260" s="1" t="s">
        <v>311</v>
      </c>
      <c r="I260" s="1" t="s">
        <v>539</v>
      </c>
      <c r="J260" s="1"/>
    </row>
    <row r="261" spans="1:10" ht="12.75" x14ac:dyDescent="0.2">
      <c r="A261" s="1" t="s">
        <v>6</v>
      </c>
      <c r="B261" s="1" t="s">
        <v>308</v>
      </c>
      <c r="C261" s="1">
        <v>1</v>
      </c>
      <c r="D261" s="1" t="str">
        <f t="shared" si="4"/>
        <v>CP0934ITM086NEST</v>
      </c>
      <c r="E261" s="1" t="s">
        <v>540</v>
      </c>
      <c r="F261" s="1" t="s">
        <v>310</v>
      </c>
      <c r="G261" s="1" t="s">
        <v>101</v>
      </c>
      <c r="H261" s="1" t="s">
        <v>311</v>
      </c>
      <c r="I261" s="1" t="s">
        <v>541</v>
      </c>
      <c r="J261" s="1"/>
    </row>
    <row r="262" spans="1:10" ht="12.75" x14ac:dyDescent="0.2">
      <c r="A262" s="1" t="s">
        <v>6</v>
      </c>
      <c r="B262" s="1" t="s">
        <v>308</v>
      </c>
      <c r="C262" s="1">
        <v>1</v>
      </c>
      <c r="D262" s="1" t="str">
        <f t="shared" si="4"/>
        <v>CP0940ITM086NEST</v>
      </c>
      <c r="E262" s="1" t="s">
        <v>542</v>
      </c>
      <c r="F262" s="1" t="s">
        <v>310</v>
      </c>
      <c r="G262" s="1" t="s">
        <v>101</v>
      </c>
      <c r="H262" s="1" t="s">
        <v>311</v>
      </c>
      <c r="I262" s="1" t="s">
        <v>543</v>
      </c>
      <c r="J262" s="1"/>
    </row>
    <row r="263" spans="1:10" ht="12.75" x14ac:dyDescent="0.2">
      <c r="A263" s="1" t="s">
        <v>6</v>
      </c>
      <c r="B263" s="1" t="s">
        <v>308</v>
      </c>
      <c r="C263" s="1">
        <v>1</v>
      </c>
      <c r="D263" s="1" t="str">
        <f t="shared" si="4"/>
        <v>CP0941ITM086NEST</v>
      </c>
      <c r="E263" s="1" t="s">
        <v>544</v>
      </c>
      <c r="F263" s="1" t="s">
        <v>310</v>
      </c>
      <c r="G263" s="1" t="s">
        <v>101</v>
      </c>
      <c r="H263" s="1" t="s">
        <v>311</v>
      </c>
      <c r="I263" s="1" t="s">
        <v>545</v>
      </c>
      <c r="J263" s="1"/>
    </row>
    <row r="264" spans="1:10" ht="12.75" x14ac:dyDescent="0.2">
      <c r="A264" s="1" t="s">
        <v>6</v>
      </c>
      <c r="B264" s="1" t="s">
        <v>308</v>
      </c>
      <c r="C264" s="1">
        <v>1</v>
      </c>
      <c r="D264" s="1" t="str">
        <f t="shared" si="4"/>
        <v>CP0942ITM086NEST</v>
      </c>
      <c r="E264" s="1" t="s">
        <v>546</v>
      </c>
      <c r="F264" s="1" t="s">
        <v>310</v>
      </c>
      <c r="G264" s="1" t="s">
        <v>101</v>
      </c>
      <c r="H264" s="1" t="s">
        <v>311</v>
      </c>
      <c r="I264" s="1" t="s">
        <v>547</v>
      </c>
      <c r="J264" s="1"/>
    </row>
    <row r="265" spans="1:10" ht="12.75" x14ac:dyDescent="0.2">
      <c r="A265" s="1" t="s">
        <v>6</v>
      </c>
      <c r="B265" s="1" t="s">
        <v>308</v>
      </c>
      <c r="C265" s="1">
        <v>1</v>
      </c>
      <c r="D265" s="1" t="str">
        <f t="shared" si="4"/>
        <v>CP0950ITM086NEST</v>
      </c>
      <c r="E265" s="1" t="s">
        <v>548</v>
      </c>
      <c r="F265" s="1" t="s">
        <v>310</v>
      </c>
      <c r="G265" s="1" t="s">
        <v>101</v>
      </c>
      <c r="H265" s="1" t="s">
        <v>311</v>
      </c>
      <c r="I265" s="1" t="s">
        <v>549</v>
      </c>
      <c r="J265" s="1"/>
    </row>
    <row r="266" spans="1:10" ht="12.75" x14ac:dyDescent="0.2">
      <c r="A266" s="1" t="s">
        <v>6</v>
      </c>
      <c r="B266" s="1" t="s">
        <v>308</v>
      </c>
      <c r="C266" s="1">
        <v>1</v>
      </c>
      <c r="D266" s="1" t="str">
        <f t="shared" si="4"/>
        <v>CP0951ITM086NEST</v>
      </c>
      <c r="E266" s="1" t="s">
        <v>550</v>
      </c>
      <c r="F266" s="1" t="s">
        <v>310</v>
      </c>
      <c r="G266" s="1" t="s">
        <v>101</v>
      </c>
      <c r="H266" s="1" t="s">
        <v>311</v>
      </c>
      <c r="I266" s="1" t="s">
        <v>551</v>
      </c>
      <c r="J266" s="1"/>
    </row>
    <row r="267" spans="1:10" ht="12.75" x14ac:dyDescent="0.2">
      <c r="A267" s="1" t="s">
        <v>6</v>
      </c>
      <c r="B267" s="1" t="s">
        <v>308</v>
      </c>
      <c r="C267" s="1">
        <v>1</v>
      </c>
      <c r="D267" s="1" t="str">
        <f t="shared" si="4"/>
        <v>CP0952ITM086NEST</v>
      </c>
      <c r="E267" s="1" t="s">
        <v>552</v>
      </c>
      <c r="F267" s="1" t="s">
        <v>310</v>
      </c>
      <c r="G267" s="1" t="s">
        <v>101</v>
      </c>
      <c r="H267" s="1" t="s">
        <v>311</v>
      </c>
      <c r="I267" s="1" t="s">
        <v>553</v>
      </c>
      <c r="J267" s="1"/>
    </row>
    <row r="268" spans="1:10" ht="12.75" x14ac:dyDescent="0.2">
      <c r="A268" s="1" t="s">
        <v>6</v>
      </c>
      <c r="B268" s="1" t="s">
        <v>308</v>
      </c>
      <c r="C268" s="1">
        <v>1</v>
      </c>
      <c r="D268" s="1" t="str">
        <f t="shared" si="4"/>
        <v>CP0953ITM086NEST</v>
      </c>
      <c r="E268" s="1" t="s">
        <v>554</v>
      </c>
      <c r="F268" s="1" t="s">
        <v>310</v>
      </c>
      <c r="G268" s="1" t="s">
        <v>101</v>
      </c>
      <c r="H268" s="1" t="s">
        <v>311</v>
      </c>
      <c r="I268" s="1" t="s">
        <v>555</v>
      </c>
      <c r="J268" s="1"/>
    </row>
    <row r="269" spans="1:10" ht="12.75" x14ac:dyDescent="0.2">
      <c r="A269" s="1" t="s">
        <v>6</v>
      </c>
      <c r="B269" s="1" t="s">
        <v>308</v>
      </c>
      <c r="C269" s="1">
        <v>1</v>
      </c>
      <c r="D269" s="1" t="str">
        <f t="shared" si="4"/>
        <v>CP0960ITM086NEST</v>
      </c>
      <c r="E269" s="1" t="s">
        <v>556</v>
      </c>
      <c r="F269" s="1" t="s">
        <v>310</v>
      </c>
      <c r="G269" s="1" t="s">
        <v>101</v>
      </c>
      <c r="H269" s="1" t="s">
        <v>311</v>
      </c>
      <c r="I269" s="1" t="s">
        <v>557</v>
      </c>
      <c r="J269" s="1"/>
    </row>
    <row r="270" spans="1:10" ht="12.75" x14ac:dyDescent="0.2">
      <c r="A270" s="1" t="s">
        <v>6</v>
      </c>
      <c r="B270" s="1" t="s">
        <v>308</v>
      </c>
      <c r="C270" s="1">
        <v>1</v>
      </c>
      <c r="D270" s="1" t="str">
        <f t="shared" si="4"/>
        <v>CP1000ITM086NEST</v>
      </c>
      <c r="E270" s="1" t="s">
        <v>558</v>
      </c>
      <c r="F270" s="1" t="s">
        <v>310</v>
      </c>
      <c r="G270" s="1" t="s">
        <v>101</v>
      </c>
      <c r="H270" s="1" t="s">
        <v>311</v>
      </c>
      <c r="I270" s="1" t="s">
        <v>559</v>
      </c>
      <c r="J270" s="1"/>
    </row>
    <row r="271" spans="1:10" ht="12.75" x14ac:dyDescent="0.2">
      <c r="A271" s="1" t="s">
        <v>6</v>
      </c>
      <c r="B271" s="1" t="s">
        <v>308</v>
      </c>
      <c r="C271" s="1">
        <v>1</v>
      </c>
      <c r="D271" s="1" t="str">
        <f t="shared" si="4"/>
        <v>CP1100ITM086NEST</v>
      </c>
      <c r="E271" s="1" t="s">
        <v>560</v>
      </c>
      <c r="F271" s="1" t="s">
        <v>310</v>
      </c>
      <c r="G271" s="1" t="s">
        <v>101</v>
      </c>
      <c r="H271" s="1" t="s">
        <v>311</v>
      </c>
      <c r="I271" s="1" t="s">
        <v>561</v>
      </c>
      <c r="J271" s="1"/>
    </row>
    <row r="272" spans="1:10" ht="12.75" x14ac:dyDescent="0.2">
      <c r="A272" s="1" t="s">
        <v>6</v>
      </c>
      <c r="B272" s="1" t="s">
        <v>308</v>
      </c>
      <c r="C272" s="1">
        <v>1</v>
      </c>
      <c r="D272" s="1" t="str">
        <f t="shared" si="4"/>
        <v>CP1110ITM086NEST</v>
      </c>
      <c r="E272" s="1" t="s">
        <v>562</v>
      </c>
      <c r="F272" s="1" t="s">
        <v>310</v>
      </c>
      <c r="G272" s="1" t="s">
        <v>101</v>
      </c>
      <c r="H272" s="1" t="s">
        <v>311</v>
      </c>
      <c r="I272" s="1" t="s">
        <v>563</v>
      </c>
      <c r="J272" s="1"/>
    </row>
    <row r="273" spans="1:10" ht="12.75" x14ac:dyDescent="0.2">
      <c r="A273" s="1" t="s">
        <v>6</v>
      </c>
      <c r="B273" s="1" t="s">
        <v>308</v>
      </c>
      <c r="C273" s="1">
        <v>1</v>
      </c>
      <c r="D273" s="1" t="str">
        <f t="shared" si="4"/>
        <v>CP1111ITM086NEST</v>
      </c>
      <c r="E273" s="1" t="s">
        <v>564</v>
      </c>
      <c r="F273" s="1" t="s">
        <v>310</v>
      </c>
      <c r="G273" s="1" t="s">
        <v>101</v>
      </c>
      <c r="H273" s="1" t="s">
        <v>311</v>
      </c>
      <c r="I273" s="1" t="s">
        <v>565</v>
      </c>
      <c r="J273" s="1"/>
    </row>
    <row r="274" spans="1:10" ht="12.75" x14ac:dyDescent="0.2">
      <c r="A274" s="1" t="s">
        <v>6</v>
      </c>
      <c r="B274" s="1" t="s">
        <v>308</v>
      </c>
      <c r="C274" s="1">
        <v>1</v>
      </c>
      <c r="D274" s="1" t="str">
        <f t="shared" si="4"/>
        <v>CP1112ITM086NEST</v>
      </c>
      <c r="E274" s="1" t="s">
        <v>566</v>
      </c>
      <c r="F274" s="1" t="s">
        <v>310</v>
      </c>
      <c r="G274" s="1" t="s">
        <v>101</v>
      </c>
      <c r="H274" s="1" t="s">
        <v>311</v>
      </c>
      <c r="I274" s="1" t="s">
        <v>567</v>
      </c>
      <c r="J274" s="1"/>
    </row>
    <row r="275" spans="1:10" ht="12.75" x14ac:dyDescent="0.2">
      <c r="A275" s="1" t="s">
        <v>6</v>
      </c>
      <c r="B275" s="1" t="s">
        <v>308</v>
      </c>
      <c r="C275" s="1">
        <v>1</v>
      </c>
      <c r="D275" s="1" t="str">
        <f t="shared" si="4"/>
        <v>CP1120ITM086NEST</v>
      </c>
      <c r="E275" s="1" t="s">
        <v>568</v>
      </c>
      <c r="F275" s="1" t="s">
        <v>310</v>
      </c>
      <c r="G275" s="1" t="s">
        <v>101</v>
      </c>
      <c r="H275" s="1" t="s">
        <v>311</v>
      </c>
      <c r="I275" s="1" t="s">
        <v>569</v>
      </c>
      <c r="J275" s="1"/>
    </row>
    <row r="276" spans="1:10" ht="12.75" x14ac:dyDescent="0.2">
      <c r="A276" s="1" t="s">
        <v>6</v>
      </c>
      <c r="B276" s="1" t="s">
        <v>308</v>
      </c>
      <c r="C276" s="1">
        <v>1</v>
      </c>
      <c r="D276" s="1" t="str">
        <f t="shared" si="4"/>
        <v>CP1200ITM086NEST</v>
      </c>
      <c r="E276" s="1" t="s">
        <v>570</v>
      </c>
      <c r="F276" s="1" t="s">
        <v>310</v>
      </c>
      <c r="G276" s="1" t="s">
        <v>101</v>
      </c>
      <c r="H276" s="1" t="s">
        <v>311</v>
      </c>
      <c r="I276" s="1" t="s">
        <v>571</v>
      </c>
      <c r="J276" s="1"/>
    </row>
    <row r="277" spans="1:10" ht="12.75" x14ac:dyDescent="0.2">
      <c r="A277" s="1" t="s">
        <v>6</v>
      </c>
      <c r="B277" s="1" t="s">
        <v>308</v>
      </c>
      <c r="C277" s="1">
        <v>1</v>
      </c>
      <c r="D277" s="1" t="str">
        <f t="shared" si="4"/>
        <v>CP1210ITM086NEST</v>
      </c>
      <c r="E277" s="1" t="s">
        <v>572</v>
      </c>
      <c r="F277" s="1" t="s">
        <v>310</v>
      </c>
      <c r="G277" s="1" t="s">
        <v>101</v>
      </c>
      <c r="H277" s="1" t="s">
        <v>311</v>
      </c>
      <c r="I277" s="1" t="s">
        <v>573</v>
      </c>
      <c r="J277" s="1"/>
    </row>
    <row r="278" spans="1:10" ht="12.75" x14ac:dyDescent="0.2">
      <c r="A278" s="1" t="s">
        <v>6</v>
      </c>
      <c r="B278" s="1" t="s">
        <v>308</v>
      </c>
      <c r="C278" s="1">
        <v>1</v>
      </c>
      <c r="D278" s="1" t="str">
        <f t="shared" si="4"/>
        <v>CP1211ITM086NEST</v>
      </c>
      <c r="E278" s="1" t="s">
        <v>574</v>
      </c>
      <c r="F278" s="1" t="s">
        <v>310</v>
      </c>
      <c r="G278" s="1" t="s">
        <v>101</v>
      </c>
      <c r="H278" s="1" t="s">
        <v>311</v>
      </c>
      <c r="I278" s="1" t="s">
        <v>575</v>
      </c>
      <c r="J278" s="1"/>
    </row>
    <row r="279" spans="1:10" ht="12.75" x14ac:dyDescent="0.2">
      <c r="A279" s="1" t="s">
        <v>6</v>
      </c>
      <c r="B279" s="1" t="s">
        <v>308</v>
      </c>
      <c r="C279" s="1">
        <v>1</v>
      </c>
      <c r="D279" s="1" t="str">
        <f t="shared" si="4"/>
        <v>CP1212ITM086NEST</v>
      </c>
      <c r="E279" s="1" t="s">
        <v>576</v>
      </c>
      <c r="F279" s="1" t="s">
        <v>310</v>
      </c>
      <c r="G279" s="1" t="s">
        <v>101</v>
      </c>
      <c r="H279" s="1" t="s">
        <v>311</v>
      </c>
      <c r="I279" s="1" t="s">
        <v>577</v>
      </c>
      <c r="J279" s="1"/>
    </row>
    <row r="280" spans="1:10" ht="12.75" x14ac:dyDescent="0.2">
      <c r="A280" s="1" t="s">
        <v>6</v>
      </c>
      <c r="B280" s="1" t="s">
        <v>308</v>
      </c>
      <c r="C280" s="1">
        <v>1</v>
      </c>
      <c r="D280" s="1" t="str">
        <f t="shared" si="4"/>
        <v>CP1230ITM086NEST</v>
      </c>
      <c r="E280" s="1" t="s">
        <v>578</v>
      </c>
      <c r="F280" s="1" t="s">
        <v>310</v>
      </c>
      <c r="G280" s="1" t="s">
        <v>101</v>
      </c>
      <c r="H280" s="1" t="s">
        <v>311</v>
      </c>
      <c r="I280" s="1" t="s">
        <v>579</v>
      </c>
      <c r="J280" s="1"/>
    </row>
    <row r="281" spans="1:10" ht="12.75" x14ac:dyDescent="0.2">
      <c r="A281" s="1" t="s">
        <v>6</v>
      </c>
      <c r="B281" s="1" t="s">
        <v>308</v>
      </c>
      <c r="C281" s="1">
        <v>1</v>
      </c>
      <c r="D281" s="1" t="str">
        <f t="shared" si="4"/>
        <v>CP1231ITM086NEST</v>
      </c>
      <c r="E281" s="1" t="s">
        <v>580</v>
      </c>
      <c r="F281" s="1" t="s">
        <v>310</v>
      </c>
      <c r="G281" s="1" t="s">
        <v>101</v>
      </c>
      <c r="H281" s="1" t="s">
        <v>311</v>
      </c>
      <c r="I281" s="1" t="s">
        <v>581</v>
      </c>
      <c r="J281" s="1"/>
    </row>
    <row r="282" spans="1:10" ht="12.75" x14ac:dyDescent="0.2">
      <c r="A282" s="1" t="s">
        <v>6</v>
      </c>
      <c r="B282" s="1" t="s">
        <v>308</v>
      </c>
      <c r="C282" s="1">
        <v>1</v>
      </c>
      <c r="D282" s="1" t="str">
        <f t="shared" si="4"/>
        <v>CP1232ITM086NEST</v>
      </c>
      <c r="E282" s="1" t="s">
        <v>582</v>
      </c>
      <c r="F282" s="1" t="s">
        <v>310</v>
      </c>
      <c r="G282" s="1" t="s">
        <v>101</v>
      </c>
      <c r="H282" s="1" t="s">
        <v>311</v>
      </c>
      <c r="I282" s="1" t="s">
        <v>583</v>
      </c>
      <c r="J282" s="1"/>
    </row>
    <row r="283" spans="1:10" ht="12.75" x14ac:dyDescent="0.2">
      <c r="A283" s="1" t="s">
        <v>6</v>
      </c>
      <c r="B283" s="1" t="s">
        <v>308</v>
      </c>
      <c r="C283" s="1">
        <v>1</v>
      </c>
      <c r="D283" s="1" t="str">
        <f t="shared" si="4"/>
        <v>CP1240ITM086NEST</v>
      </c>
      <c r="E283" s="1" t="s">
        <v>584</v>
      </c>
      <c r="F283" s="1" t="s">
        <v>310</v>
      </c>
      <c r="G283" s="1" t="s">
        <v>101</v>
      </c>
      <c r="H283" s="1" t="s">
        <v>311</v>
      </c>
      <c r="I283" s="1" t="s">
        <v>585</v>
      </c>
      <c r="J283" s="1"/>
    </row>
    <row r="284" spans="1:10" ht="12.75" x14ac:dyDescent="0.2">
      <c r="A284" s="1" t="s">
        <v>6</v>
      </c>
      <c r="B284" s="1" t="s">
        <v>308</v>
      </c>
      <c r="C284" s="1">
        <v>1</v>
      </c>
      <c r="D284" s="1" t="str">
        <f t="shared" si="4"/>
        <v>CP1250ITM086NEST</v>
      </c>
      <c r="E284" s="1" t="s">
        <v>586</v>
      </c>
      <c r="F284" s="1" t="s">
        <v>310</v>
      </c>
      <c r="G284" s="1" t="s">
        <v>101</v>
      </c>
      <c r="H284" s="1" t="s">
        <v>311</v>
      </c>
      <c r="I284" s="1" t="s">
        <v>587</v>
      </c>
      <c r="J284" s="1"/>
    </row>
    <row r="285" spans="1:10" ht="12.75" x14ac:dyDescent="0.2">
      <c r="A285" s="1" t="s">
        <v>6</v>
      </c>
      <c r="B285" s="1" t="s">
        <v>308</v>
      </c>
      <c r="C285" s="1">
        <v>1</v>
      </c>
      <c r="D285" s="1" t="str">
        <f t="shared" si="4"/>
        <v>CP1252ITM086NEST</v>
      </c>
      <c r="E285" s="1" t="s">
        <v>588</v>
      </c>
      <c r="F285" s="1" t="s">
        <v>310</v>
      </c>
      <c r="G285" s="1" t="s">
        <v>101</v>
      </c>
      <c r="H285" s="1" t="s">
        <v>311</v>
      </c>
      <c r="I285" s="1" t="s">
        <v>589</v>
      </c>
      <c r="J285" s="1"/>
    </row>
    <row r="286" spans="1:10" ht="12.75" x14ac:dyDescent="0.2">
      <c r="A286" s="1" t="s">
        <v>6</v>
      </c>
      <c r="B286" s="1" t="s">
        <v>308</v>
      </c>
      <c r="C286" s="1">
        <v>1</v>
      </c>
      <c r="D286" s="1" t="str">
        <f t="shared" si="4"/>
        <v>CP1253ITM086NEST</v>
      </c>
      <c r="E286" s="1" t="s">
        <v>590</v>
      </c>
      <c r="F286" s="1" t="s">
        <v>310</v>
      </c>
      <c r="G286" s="1" t="s">
        <v>101</v>
      </c>
      <c r="H286" s="1" t="s">
        <v>311</v>
      </c>
      <c r="I286" s="1" t="s">
        <v>591</v>
      </c>
      <c r="J286" s="1"/>
    </row>
    <row r="287" spans="1:10" ht="12.75" x14ac:dyDescent="0.2">
      <c r="A287" s="1" t="s">
        <v>6</v>
      </c>
      <c r="B287" s="1" t="s">
        <v>308</v>
      </c>
      <c r="C287" s="1">
        <v>1</v>
      </c>
      <c r="D287" s="1" t="str">
        <f t="shared" si="4"/>
        <v>CP1254ITM086NEST</v>
      </c>
      <c r="E287" s="1" t="s">
        <v>592</v>
      </c>
      <c r="F287" s="1" t="s">
        <v>310</v>
      </c>
      <c r="G287" s="1" t="s">
        <v>101</v>
      </c>
      <c r="H287" s="1" t="s">
        <v>311</v>
      </c>
      <c r="I287" s="1" t="s">
        <v>593</v>
      </c>
      <c r="J287" s="1"/>
    </row>
    <row r="288" spans="1:10" ht="12.75" x14ac:dyDescent="0.2">
      <c r="A288" s="1" t="s">
        <v>6</v>
      </c>
      <c r="B288" s="1" t="s">
        <v>308</v>
      </c>
      <c r="C288" s="1">
        <v>1</v>
      </c>
      <c r="D288" s="1" t="str">
        <f t="shared" si="4"/>
        <v>CP1260ITM086NEST</v>
      </c>
      <c r="E288" s="1" t="s">
        <v>594</v>
      </c>
      <c r="F288" s="1" t="s">
        <v>310</v>
      </c>
      <c r="G288" s="1" t="s">
        <v>101</v>
      </c>
      <c r="H288" s="1" t="s">
        <v>311</v>
      </c>
      <c r="I288" s="1" t="s">
        <v>595</v>
      </c>
      <c r="J288" s="1"/>
    </row>
    <row r="289" spans="1:10" ht="12.75" x14ac:dyDescent="0.2">
      <c r="A289" s="1" t="s">
        <v>6</v>
      </c>
      <c r="B289" s="1" t="s">
        <v>308</v>
      </c>
      <c r="C289" s="1">
        <v>1</v>
      </c>
      <c r="D289" s="1" t="str">
        <f t="shared" si="4"/>
        <v>CP1270ITM086NEST</v>
      </c>
      <c r="E289" s="1" t="s">
        <v>596</v>
      </c>
      <c r="F289" s="1" t="s">
        <v>310</v>
      </c>
      <c r="G289" s="1" t="s">
        <v>101</v>
      </c>
      <c r="H289" s="1" t="s">
        <v>311</v>
      </c>
      <c r="I289" s="1" t="s">
        <v>597</v>
      </c>
      <c r="J289" s="1"/>
    </row>
    <row r="290" spans="1:10" ht="12.75" x14ac:dyDescent="0.2">
      <c r="A290" s="1" t="s">
        <v>6</v>
      </c>
      <c r="B290" s="1" t="s">
        <v>308</v>
      </c>
      <c r="C290" s="1">
        <v>1</v>
      </c>
      <c r="D290" s="1" t="str">
        <f t="shared" si="4"/>
        <v>CP8283ITM086NEST</v>
      </c>
      <c r="E290" s="1" t="s">
        <v>598</v>
      </c>
      <c r="F290" s="1" t="s">
        <v>310</v>
      </c>
      <c r="G290" s="1" t="s">
        <v>101</v>
      </c>
      <c r="H290" s="1" t="s">
        <v>311</v>
      </c>
      <c r="I290" s="1" t="s">
        <v>599</v>
      </c>
      <c r="J290" s="1"/>
    </row>
    <row r="291" spans="1:10" ht="12.75" x14ac:dyDescent="0.2">
      <c r="A291" s="1" t="s">
        <v>6</v>
      </c>
      <c r="B291" s="1" t="s">
        <v>308</v>
      </c>
      <c r="C291" s="1">
        <v>1</v>
      </c>
      <c r="D291" s="1" t="str">
        <f t="shared" si="4"/>
        <v>EDUHEAITM086NEST</v>
      </c>
      <c r="E291" s="1" t="s">
        <v>600</v>
      </c>
      <c r="F291" s="1" t="s">
        <v>310</v>
      </c>
      <c r="G291" s="1" t="s">
        <v>101</v>
      </c>
      <c r="H291" s="1" t="s">
        <v>311</v>
      </c>
      <c r="I291" s="1" t="s">
        <v>601</v>
      </c>
      <c r="J291" s="1"/>
    </row>
    <row r="292" spans="1:10" ht="12.75" x14ac:dyDescent="0.2">
      <c r="A292" s="1" t="s">
        <v>6</v>
      </c>
      <c r="B292" s="1" t="s">
        <v>308</v>
      </c>
      <c r="C292" s="1">
        <v>1</v>
      </c>
      <c r="D292" s="1" t="str">
        <f t="shared" si="4"/>
        <v>EFOODUITM086NEST</v>
      </c>
      <c r="E292" s="1" t="s">
        <v>602</v>
      </c>
      <c r="F292" s="1" t="s">
        <v>310</v>
      </c>
      <c r="G292" s="1" t="s">
        <v>101</v>
      </c>
      <c r="H292" s="1" t="s">
        <v>311</v>
      </c>
      <c r="I292" s="1" t="s">
        <v>603</v>
      </c>
      <c r="J292" s="1"/>
    </row>
    <row r="293" spans="1:10" ht="12.75" x14ac:dyDescent="0.2">
      <c r="A293" s="1" t="s">
        <v>6</v>
      </c>
      <c r="B293" s="1" t="s">
        <v>308</v>
      </c>
      <c r="C293" s="1">
        <v>1</v>
      </c>
      <c r="D293" s="1" t="str">
        <f t="shared" si="4"/>
        <v>ELGAS0ITM086NEST</v>
      </c>
      <c r="E293" s="1" t="s">
        <v>604</v>
      </c>
      <c r="F293" s="1" t="s">
        <v>310</v>
      </c>
      <c r="G293" s="1" t="s">
        <v>101</v>
      </c>
      <c r="H293" s="1" t="s">
        <v>311</v>
      </c>
      <c r="I293" s="1" t="s">
        <v>605</v>
      </c>
      <c r="J293" s="1"/>
    </row>
    <row r="294" spans="1:10" ht="12.75" x14ac:dyDescent="0.2">
      <c r="A294" s="1" t="s">
        <v>6</v>
      </c>
      <c r="B294" s="1" t="s">
        <v>308</v>
      </c>
      <c r="C294" s="1">
        <v>1</v>
      </c>
      <c r="D294" s="1" t="str">
        <f t="shared" si="4"/>
        <v>ENRGY0ITM086NEST</v>
      </c>
      <c r="E294" s="1" t="s">
        <v>606</v>
      </c>
      <c r="F294" s="1" t="s">
        <v>310</v>
      </c>
      <c r="G294" s="1" t="s">
        <v>101</v>
      </c>
      <c r="H294" s="1" t="s">
        <v>311</v>
      </c>
      <c r="I294" s="1" t="s">
        <v>607</v>
      </c>
      <c r="J294" s="1"/>
    </row>
    <row r="295" spans="1:10" ht="12.75" x14ac:dyDescent="0.2">
      <c r="A295" s="1" t="s">
        <v>6</v>
      </c>
      <c r="B295" s="1" t="s">
        <v>308</v>
      </c>
      <c r="C295" s="1">
        <v>1</v>
      </c>
      <c r="D295" s="1" t="str">
        <f t="shared" si="4"/>
        <v>ENRGYSITM086NEST</v>
      </c>
      <c r="E295" s="1" t="s">
        <v>608</v>
      </c>
      <c r="F295" s="1" t="s">
        <v>310</v>
      </c>
      <c r="G295" s="1" t="s">
        <v>101</v>
      </c>
      <c r="H295" s="1" t="s">
        <v>311</v>
      </c>
      <c r="I295" s="1" t="s">
        <v>609</v>
      </c>
      <c r="J295" s="1"/>
    </row>
    <row r="296" spans="1:10" ht="12.75" x14ac:dyDescent="0.2">
      <c r="A296" s="1" t="s">
        <v>6</v>
      </c>
      <c r="B296" s="1" t="s">
        <v>308</v>
      </c>
      <c r="C296" s="1">
        <v>1</v>
      </c>
      <c r="D296" s="1" t="str">
        <f t="shared" si="4"/>
        <v>FOOD00ITM086NEST</v>
      </c>
      <c r="E296" s="1" t="s">
        <v>610</v>
      </c>
      <c r="F296" s="1" t="s">
        <v>310</v>
      </c>
      <c r="G296" s="1" t="s">
        <v>101</v>
      </c>
      <c r="H296" s="1" t="s">
        <v>311</v>
      </c>
      <c r="I296" s="1" t="s">
        <v>611</v>
      </c>
      <c r="J296" s="1"/>
    </row>
    <row r="297" spans="1:10" ht="12.75" x14ac:dyDescent="0.2">
      <c r="A297" s="1" t="s">
        <v>6</v>
      </c>
      <c r="B297" s="1" t="s">
        <v>308</v>
      </c>
      <c r="C297" s="1">
        <v>1</v>
      </c>
      <c r="D297" s="1" t="str">
        <f t="shared" si="4"/>
        <v>FOODPRITM086NEST</v>
      </c>
      <c r="E297" s="1" t="s">
        <v>612</v>
      </c>
      <c r="F297" s="1" t="s">
        <v>310</v>
      </c>
      <c r="G297" s="1" t="s">
        <v>101</v>
      </c>
      <c r="H297" s="1" t="s">
        <v>311</v>
      </c>
      <c r="I297" s="1" t="s">
        <v>613</v>
      </c>
      <c r="J297" s="1"/>
    </row>
    <row r="298" spans="1:10" ht="12.75" x14ac:dyDescent="0.2">
      <c r="A298" s="1" t="s">
        <v>6</v>
      </c>
      <c r="B298" s="1" t="s">
        <v>308</v>
      </c>
      <c r="C298" s="1">
        <v>1</v>
      </c>
      <c r="D298" s="1" t="str">
        <f t="shared" si="4"/>
        <v>FOODUNITM086NEST</v>
      </c>
      <c r="E298" s="1" t="s">
        <v>614</v>
      </c>
      <c r="F298" s="1" t="s">
        <v>310</v>
      </c>
      <c r="G298" s="1" t="s">
        <v>101</v>
      </c>
      <c r="H298" s="1" t="s">
        <v>311</v>
      </c>
      <c r="I298" s="1" t="s">
        <v>615</v>
      </c>
      <c r="J298" s="1"/>
    </row>
    <row r="299" spans="1:10" ht="12.75" x14ac:dyDescent="0.2">
      <c r="A299" s="1" t="s">
        <v>6</v>
      </c>
      <c r="B299" s="1" t="s">
        <v>308</v>
      </c>
      <c r="C299" s="1">
        <v>1</v>
      </c>
      <c r="D299" s="1" t="str">
        <f t="shared" si="4"/>
        <v>FROOPPITM086NEST</v>
      </c>
      <c r="E299" s="1" t="s">
        <v>616</v>
      </c>
      <c r="F299" s="1" t="s">
        <v>310</v>
      </c>
      <c r="G299" s="1" t="s">
        <v>101</v>
      </c>
      <c r="H299" s="1" t="s">
        <v>311</v>
      </c>
      <c r="I299" s="1" t="s">
        <v>617</v>
      </c>
      <c r="J299" s="1"/>
    </row>
    <row r="300" spans="1:10" ht="12.75" x14ac:dyDescent="0.2">
      <c r="A300" s="1" t="s">
        <v>6</v>
      </c>
      <c r="B300" s="1" t="s">
        <v>308</v>
      </c>
      <c r="C300" s="1">
        <v>1</v>
      </c>
      <c r="D300" s="1" t="str">
        <f t="shared" si="4"/>
        <v>FUELS0ITM086NEST</v>
      </c>
      <c r="E300" s="1" t="s">
        <v>618</v>
      </c>
      <c r="F300" s="1" t="s">
        <v>310</v>
      </c>
      <c r="G300" s="1" t="s">
        <v>101</v>
      </c>
      <c r="H300" s="1" t="s">
        <v>311</v>
      </c>
      <c r="I300" s="1" t="s">
        <v>619</v>
      </c>
      <c r="J300" s="1"/>
    </row>
    <row r="301" spans="1:10" ht="12.75" x14ac:dyDescent="0.2">
      <c r="A301" s="1" t="s">
        <v>6</v>
      </c>
      <c r="B301" s="1" t="s">
        <v>308</v>
      </c>
      <c r="C301" s="1">
        <v>1</v>
      </c>
      <c r="D301" s="1" t="str">
        <f t="shared" si="4"/>
        <v>GOODS0ITM086NEST</v>
      </c>
      <c r="E301" s="1" t="s">
        <v>620</v>
      </c>
      <c r="F301" s="1" t="s">
        <v>310</v>
      </c>
      <c r="G301" s="1" t="s">
        <v>101</v>
      </c>
      <c r="H301" s="1" t="s">
        <v>311</v>
      </c>
      <c r="I301" s="1" t="s">
        <v>621</v>
      </c>
      <c r="J301" s="1"/>
    </row>
    <row r="302" spans="1:10" ht="12.75" x14ac:dyDescent="0.2">
      <c r="A302" s="1" t="s">
        <v>6</v>
      </c>
      <c r="B302" s="1" t="s">
        <v>308</v>
      </c>
      <c r="C302" s="1">
        <v>1</v>
      </c>
      <c r="D302" s="1" t="str">
        <f t="shared" si="4"/>
        <v>IGDSXEITM086NEST</v>
      </c>
      <c r="E302" s="1" t="s">
        <v>622</v>
      </c>
      <c r="F302" s="1" t="s">
        <v>310</v>
      </c>
      <c r="G302" s="1" t="s">
        <v>101</v>
      </c>
      <c r="H302" s="1" t="s">
        <v>311</v>
      </c>
      <c r="I302" s="1" t="s">
        <v>623</v>
      </c>
      <c r="J302" s="1"/>
    </row>
    <row r="303" spans="1:10" ht="12.75" x14ac:dyDescent="0.2">
      <c r="A303" s="1" t="s">
        <v>6</v>
      </c>
      <c r="B303" s="1" t="s">
        <v>308</v>
      </c>
      <c r="C303" s="1">
        <v>1</v>
      </c>
      <c r="D303" s="1" t="str">
        <f t="shared" si="4"/>
        <v>IGDXEDITM086NEST</v>
      </c>
      <c r="E303" s="1" t="s">
        <v>624</v>
      </c>
      <c r="F303" s="1" t="s">
        <v>310</v>
      </c>
      <c r="G303" s="1" t="s">
        <v>101</v>
      </c>
      <c r="H303" s="1" t="s">
        <v>311</v>
      </c>
      <c r="I303" s="1" t="s">
        <v>625</v>
      </c>
      <c r="J303" s="1"/>
    </row>
    <row r="304" spans="1:10" ht="12.75" x14ac:dyDescent="0.2">
      <c r="A304" s="1" t="s">
        <v>6</v>
      </c>
      <c r="B304" s="1" t="s">
        <v>308</v>
      </c>
      <c r="C304" s="1">
        <v>1</v>
      </c>
      <c r="D304" s="1" t="str">
        <f t="shared" si="4"/>
        <v>IGDXENITM086NEST</v>
      </c>
      <c r="E304" s="1" t="s">
        <v>626</v>
      </c>
      <c r="F304" s="1" t="s">
        <v>310</v>
      </c>
      <c r="G304" s="1" t="s">
        <v>101</v>
      </c>
      <c r="H304" s="1" t="s">
        <v>311</v>
      </c>
      <c r="I304" s="1" t="s">
        <v>627</v>
      </c>
      <c r="J304" s="1"/>
    </row>
    <row r="305" spans="1:10" ht="12.75" x14ac:dyDescent="0.2">
      <c r="A305" s="1" t="s">
        <v>6</v>
      </c>
      <c r="B305" s="1" t="s">
        <v>308</v>
      </c>
      <c r="C305" s="1">
        <v>1</v>
      </c>
      <c r="D305" s="1" t="str">
        <f t="shared" si="4"/>
        <v>IGDXESITM086NEST</v>
      </c>
      <c r="E305" s="1" t="s">
        <v>628</v>
      </c>
      <c r="F305" s="1" t="s">
        <v>310</v>
      </c>
      <c r="G305" s="1" t="s">
        <v>101</v>
      </c>
      <c r="H305" s="1" t="s">
        <v>311</v>
      </c>
      <c r="I305" s="1" t="s">
        <v>629</v>
      </c>
      <c r="J305" s="1"/>
    </row>
    <row r="306" spans="1:10" ht="12.75" x14ac:dyDescent="0.2">
      <c r="A306" s="1" t="s">
        <v>6</v>
      </c>
      <c r="B306" s="1" t="s">
        <v>308</v>
      </c>
      <c r="C306" s="1">
        <v>1</v>
      </c>
      <c r="D306" s="1" t="str">
        <f t="shared" si="4"/>
        <v>IGOODSITM086NEST</v>
      </c>
      <c r="E306" s="1" t="s">
        <v>630</v>
      </c>
      <c r="F306" s="1" t="s">
        <v>310</v>
      </c>
      <c r="G306" s="1" t="s">
        <v>101</v>
      </c>
      <c r="H306" s="1" t="s">
        <v>311</v>
      </c>
      <c r="I306" s="1" t="s">
        <v>631</v>
      </c>
      <c r="J306" s="1"/>
    </row>
    <row r="307" spans="1:10" ht="12.75" x14ac:dyDescent="0.2">
      <c r="A307" s="1" t="s">
        <v>6</v>
      </c>
      <c r="B307" s="1" t="s">
        <v>308</v>
      </c>
      <c r="C307" s="1">
        <v>1</v>
      </c>
      <c r="D307" s="1" t="str">
        <f t="shared" si="4"/>
        <v>INTGSBITM193N</v>
      </c>
      <c r="E307" s="1" t="s">
        <v>632</v>
      </c>
      <c r="F307" s="1" t="s">
        <v>310</v>
      </c>
      <c r="G307" s="1" t="s">
        <v>101</v>
      </c>
      <c r="H307" s="1" t="s">
        <v>311</v>
      </c>
      <c r="I307" s="1" t="s">
        <v>633</v>
      </c>
      <c r="J307" s="1"/>
    </row>
    <row r="308" spans="1:10" ht="12.75" x14ac:dyDescent="0.2">
      <c r="A308" s="1" t="s">
        <v>6</v>
      </c>
      <c r="B308" s="1" t="s">
        <v>308</v>
      </c>
      <c r="C308" s="1">
        <v>1</v>
      </c>
      <c r="D308" s="1" t="str">
        <f t="shared" si="4"/>
        <v>INTGSTITM193N</v>
      </c>
      <c r="E308" s="1" t="s">
        <v>634</v>
      </c>
      <c r="F308" s="1" t="s">
        <v>310</v>
      </c>
      <c r="G308" s="1" t="s">
        <v>101</v>
      </c>
      <c r="H308" s="1" t="s">
        <v>311</v>
      </c>
      <c r="I308" s="1" t="s">
        <v>635</v>
      </c>
      <c r="J308" s="1"/>
    </row>
    <row r="309" spans="1:10" ht="12.75" x14ac:dyDescent="0.2">
      <c r="A309" s="1" t="s">
        <v>6</v>
      </c>
      <c r="B309" s="1" t="s">
        <v>308</v>
      </c>
      <c r="C309" s="1">
        <v>1</v>
      </c>
      <c r="D309" s="1" t="str">
        <f t="shared" si="4"/>
        <v>SEAS00ITM086NEST</v>
      </c>
      <c r="E309" s="1" t="s">
        <v>636</v>
      </c>
      <c r="F309" s="1" t="s">
        <v>310</v>
      </c>
      <c r="G309" s="1" t="s">
        <v>101</v>
      </c>
      <c r="H309" s="1" t="s">
        <v>311</v>
      </c>
      <c r="I309" s="1" t="s">
        <v>637</v>
      </c>
      <c r="J309" s="1"/>
    </row>
    <row r="310" spans="1:10" ht="12.75" x14ac:dyDescent="0.2">
      <c r="A310" s="1" t="s">
        <v>6</v>
      </c>
      <c r="B310" s="1" t="s">
        <v>308</v>
      </c>
      <c r="C310" s="1">
        <v>1</v>
      </c>
      <c r="D310" s="1" t="str">
        <f t="shared" si="4"/>
        <v>SERV00ITM086NEST</v>
      </c>
      <c r="E310" s="1" t="s">
        <v>638</v>
      </c>
      <c r="F310" s="1" t="s">
        <v>310</v>
      </c>
      <c r="G310" s="1" t="s">
        <v>101</v>
      </c>
      <c r="H310" s="1" t="s">
        <v>311</v>
      </c>
      <c r="I310" s="1" t="s">
        <v>639</v>
      </c>
      <c r="J310" s="1"/>
    </row>
    <row r="311" spans="1:10" ht="12.75" x14ac:dyDescent="0.2">
      <c r="A311" s="1" t="s">
        <v>6</v>
      </c>
      <c r="B311" s="1" t="s">
        <v>308</v>
      </c>
      <c r="C311" s="1">
        <v>1</v>
      </c>
      <c r="D311" s="1" t="str">
        <f t="shared" si="4"/>
        <v>SERVCOITM086NEST</v>
      </c>
      <c r="E311" s="1" t="s">
        <v>640</v>
      </c>
      <c r="F311" s="1" t="s">
        <v>310</v>
      </c>
      <c r="G311" s="1" t="s">
        <v>101</v>
      </c>
      <c r="H311" s="1" t="s">
        <v>311</v>
      </c>
      <c r="I311" s="1" t="s">
        <v>641</v>
      </c>
      <c r="J311" s="1"/>
    </row>
    <row r="312" spans="1:10" ht="12.75" x14ac:dyDescent="0.2">
      <c r="A312" s="1" t="s">
        <v>6</v>
      </c>
      <c r="B312" s="1" t="s">
        <v>308</v>
      </c>
      <c r="C312" s="1">
        <v>1</v>
      </c>
      <c r="D312" s="1" t="str">
        <f t="shared" si="4"/>
        <v>SERVHOITM086NEST</v>
      </c>
      <c r="E312" s="1" t="s">
        <v>642</v>
      </c>
      <c r="F312" s="1" t="s">
        <v>310</v>
      </c>
      <c r="G312" s="1" t="s">
        <v>101</v>
      </c>
      <c r="H312" s="1" t="s">
        <v>311</v>
      </c>
      <c r="I312" s="1" t="s">
        <v>643</v>
      </c>
      <c r="J312" s="1"/>
    </row>
    <row r="313" spans="1:10" ht="12.75" x14ac:dyDescent="0.2">
      <c r="A313" s="1" t="s">
        <v>6</v>
      </c>
      <c r="B313" s="1" t="s">
        <v>308</v>
      </c>
      <c r="C313" s="1">
        <v>1</v>
      </c>
      <c r="D313" s="1" t="str">
        <f t="shared" si="4"/>
        <v>SERVMIITM086NEST</v>
      </c>
      <c r="E313" s="1" t="s">
        <v>644</v>
      </c>
      <c r="F313" s="1" t="s">
        <v>310</v>
      </c>
      <c r="G313" s="1" t="s">
        <v>101</v>
      </c>
      <c r="H313" s="1" t="s">
        <v>311</v>
      </c>
      <c r="I313" s="1" t="s">
        <v>645</v>
      </c>
      <c r="J313" s="1"/>
    </row>
    <row r="314" spans="1:10" ht="12.75" x14ac:dyDescent="0.2">
      <c r="A314" s="1" t="s">
        <v>6</v>
      </c>
      <c r="B314" s="1" t="s">
        <v>308</v>
      </c>
      <c r="C314" s="1">
        <v>1</v>
      </c>
      <c r="D314" s="1" t="str">
        <f t="shared" si="4"/>
        <v>SERVRPITM086NEST</v>
      </c>
      <c r="E314" s="1" t="s">
        <v>646</v>
      </c>
      <c r="F314" s="1" t="s">
        <v>310</v>
      </c>
      <c r="G314" s="1" t="s">
        <v>101</v>
      </c>
      <c r="H314" s="1" t="s">
        <v>311</v>
      </c>
      <c r="I314" s="1" t="s">
        <v>647</v>
      </c>
      <c r="J314" s="1"/>
    </row>
    <row r="315" spans="1:10" ht="12.75" x14ac:dyDescent="0.2">
      <c r="A315" s="1" t="s">
        <v>6</v>
      </c>
      <c r="B315" s="1" t="s">
        <v>308</v>
      </c>
      <c r="C315" s="1">
        <v>1</v>
      </c>
      <c r="D315" s="1" t="str">
        <f t="shared" si="4"/>
        <v>SERVTRITM086NEST</v>
      </c>
      <c r="E315" s="1" t="s">
        <v>648</v>
      </c>
      <c r="F315" s="1" t="s">
        <v>310</v>
      </c>
      <c r="G315" s="1" t="s">
        <v>101</v>
      </c>
      <c r="H315" s="1" t="s">
        <v>311</v>
      </c>
      <c r="I315" s="1" t="s">
        <v>649</v>
      </c>
      <c r="J315" s="1"/>
    </row>
    <row r="316" spans="1:10" ht="12.75" x14ac:dyDescent="0.2">
      <c r="A316" s="1" t="s">
        <v>6</v>
      </c>
      <c r="B316" s="1" t="s">
        <v>308</v>
      </c>
      <c r="C316" s="1">
        <v>1</v>
      </c>
      <c r="D316" s="1" t="str">
        <f t="shared" si="4"/>
        <v>SRVRPOITM086NEST</v>
      </c>
      <c r="E316" s="1" t="s">
        <v>650</v>
      </c>
      <c r="F316" s="1" t="s">
        <v>310</v>
      </c>
      <c r="G316" s="1" t="s">
        <v>101</v>
      </c>
      <c r="H316" s="1" t="s">
        <v>311</v>
      </c>
      <c r="I316" s="1" t="s">
        <v>651</v>
      </c>
      <c r="J316" s="1"/>
    </row>
    <row r="317" spans="1:10" ht="12.75" x14ac:dyDescent="0.2">
      <c r="A317" s="1" t="s">
        <v>6</v>
      </c>
      <c r="B317" s="1" t="s">
        <v>308</v>
      </c>
      <c r="C317" s="1">
        <v>1</v>
      </c>
      <c r="D317" s="1" t="str">
        <f t="shared" si="4"/>
        <v>SRVRPPITM086NEST</v>
      </c>
      <c r="E317" s="1" t="s">
        <v>652</v>
      </c>
      <c r="F317" s="1" t="s">
        <v>310</v>
      </c>
      <c r="G317" s="1" t="s">
        <v>101</v>
      </c>
      <c r="H317" s="1" t="s">
        <v>311</v>
      </c>
      <c r="I317" s="1" t="s">
        <v>653</v>
      </c>
      <c r="J317" s="1"/>
    </row>
    <row r="318" spans="1:10" ht="12.75" x14ac:dyDescent="0.2">
      <c r="A318" s="1" t="s">
        <v>6</v>
      </c>
      <c r="B318" s="1" t="s">
        <v>56</v>
      </c>
      <c r="C318" s="1">
        <v>1</v>
      </c>
      <c r="D318" s="1" t="str">
        <f t="shared" si="4"/>
        <v>NGDPNSAXDCITQ</v>
      </c>
      <c r="E318" s="1" t="s">
        <v>654</v>
      </c>
      <c r="F318" s="1" t="s">
        <v>655</v>
      </c>
      <c r="G318" s="1" t="s">
        <v>101</v>
      </c>
      <c r="H318" s="1" t="s">
        <v>62</v>
      </c>
      <c r="I318" s="1" t="s">
        <v>63</v>
      </c>
      <c r="J318" s="1"/>
    </row>
    <row r="319" spans="1:10" ht="12.75" x14ac:dyDescent="0.2">
      <c r="A319" s="1" t="s">
        <v>6</v>
      </c>
      <c r="B319" s="1" t="s">
        <v>56</v>
      </c>
      <c r="C319" s="1">
        <v>1</v>
      </c>
      <c r="D319" s="1" t="str">
        <f t="shared" si="4"/>
        <v>NCPNSAXDCITQ</v>
      </c>
      <c r="E319" s="1" t="s">
        <v>656</v>
      </c>
      <c r="F319" s="1" t="s">
        <v>655</v>
      </c>
      <c r="G319" s="1" t="s">
        <v>101</v>
      </c>
      <c r="H319" s="1" t="s">
        <v>62</v>
      </c>
      <c r="I319" s="1" t="s">
        <v>65</v>
      </c>
      <c r="J319" s="1"/>
    </row>
    <row r="320" spans="1:10" ht="12.75" x14ac:dyDescent="0.2">
      <c r="A320" s="1" t="s">
        <v>6</v>
      </c>
      <c r="B320" s="1" t="s">
        <v>56</v>
      </c>
      <c r="C320" s="1">
        <v>1</v>
      </c>
      <c r="D320" s="1" t="str">
        <f t="shared" si="4"/>
        <v>NINSAXDCITQ</v>
      </c>
      <c r="E320" s="1" t="s">
        <v>657</v>
      </c>
      <c r="F320" s="1" t="s">
        <v>655</v>
      </c>
      <c r="G320" s="1" t="s">
        <v>101</v>
      </c>
      <c r="H320" s="1" t="s">
        <v>62</v>
      </c>
      <c r="I320" s="1" t="s">
        <v>67</v>
      </c>
      <c r="J320" s="1"/>
    </row>
    <row r="321" spans="1:10" ht="12.75" x14ac:dyDescent="0.2">
      <c r="A321" s="1" t="s">
        <v>6</v>
      </c>
      <c r="B321" s="1" t="s">
        <v>56</v>
      </c>
      <c r="C321" s="1">
        <v>1</v>
      </c>
      <c r="D321" s="1" t="str">
        <f t="shared" si="4"/>
        <v>NINVNSAXDCITQ</v>
      </c>
      <c r="E321" s="1" t="s">
        <v>658</v>
      </c>
      <c r="F321" s="1" t="s">
        <v>655</v>
      </c>
      <c r="G321" s="1" t="s">
        <v>101</v>
      </c>
      <c r="H321" s="1" t="s">
        <v>62</v>
      </c>
      <c r="I321" s="1" t="s">
        <v>69</v>
      </c>
      <c r="J321" s="1"/>
    </row>
    <row r="322" spans="1:10" ht="12.75" x14ac:dyDescent="0.2">
      <c r="A322" s="1" t="s">
        <v>6</v>
      </c>
      <c r="B322" s="1" t="s">
        <v>56</v>
      </c>
      <c r="C322" s="1">
        <v>1</v>
      </c>
      <c r="D322" s="1" t="str">
        <f t="shared" si="4"/>
        <v>NCGGNSAXDCITQ</v>
      </c>
      <c r="E322" s="1" t="s">
        <v>659</v>
      </c>
      <c r="F322" s="1" t="s">
        <v>655</v>
      </c>
      <c r="G322" s="1" t="s">
        <v>101</v>
      </c>
      <c r="H322" s="1" t="s">
        <v>62</v>
      </c>
      <c r="I322" s="1" t="s">
        <v>71</v>
      </c>
      <c r="J322" s="1"/>
    </row>
    <row r="323" spans="1:10" ht="12.75" x14ac:dyDescent="0.2">
      <c r="A323" s="1" t="s">
        <v>6</v>
      </c>
      <c r="B323" s="1" t="s">
        <v>56</v>
      </c>
      <c r="C323" s="1">
        <v>1</v>
      </c>
      <c r="D323" s="1" t="str">
        <f t="shared" ref="D323:D352" si="5">E323</f>
        <v>NXNSAXDCITQ</v>
      </c>
      <c r="E323" s="1" t="s">
        <v>660</v>
      </c>
      <c r="F323" s="1" t="s">
        <v>655</v>
      </c>
      <c r="G323" s="1" t="s">
        <v>101</v>
      </c>
      <c r="H323" s="1" t="s">
        <v>62</v>
      </c>
      <c r="I323" s="1" t="s">
        <v>73</v>
      </c>
      <c r="J323" s="1"/>
    </row>
    <row r="324" spans="1:10" ht="12.75" x14ac:dyDescent="0.2">
      <c r="A324" s="1" t="s">
        <v>6</v>
      </c>
      <c r="B324" s="1" t="s">
        <v>56</v>
      </c>
      <c r="C324" s="1">
        <v>1</v>
      </c>
      <c r="D324" s="1" t="str">
        <f t="shared" si="5"/>
        <v>NMNSAXDCITQ</v>
      </c>
      <c r="E324" s="1" t="s">
        <v>661</v>
      </c>
      <c r="F324" s="1" t="s">
        <v>655</v>
      </c>
      <c r="G324" s="1" t="s">
        <v>101</v>
      </c>
      <c r="H324" s="1" t="s">
        <v>62</v>
      </c>
      <c r="I324" s="1" t="s">
        <v>75</v>
      </c>
      <c r="J324" s="1"/>
    </row>
    <row r="325" spans="1:10" ht="12.75" x14ac:dyDescent="0.2">
      <c r="A325" s="1" t="s">
        <v>6</v>
      </c>
      <c r="B325" s="1" t="s">
        <v>56</v>
      </c>
      <c r="C325" s="1">
        <v>1</v>
      </c>
      <c r="D325" s="1" t="str">
        <f t="shared" si="5"/>
        <v>NFINSAXDCITQ</v>
      </c>
      <c r="E325" s="1" t="s">
        <v>662</v>
      </c>
      <c r="F325" s="1" t="s">
        <v>655</v>
      </c>
      <c r="G325" s="1" t="s">
        <v>101</v>
      </c>
      <c r="H325" s="1" t="s">
        <v>62</v>
      </c>
      <c r="I325" s="1" t="s">
        <v>79</v>
      </c>
      <c r="J325" s="1"/>
    </row>
    <row r="326" spans="1:10" ht="12.75" x14ac:dyDescent="0.2">
      <c r="A326" s="1" t="s">
        <v>6</v>
      </c>
      <c r="B326" s="1" t="s">
        <v>56</v>
      </c>
      <c r="C326" s="1">
        <v>1</v>
      </c>
      <c r="D326" s="1" t="str">
        <f t="shared" si="5"/>
        <v>NGDPRNSAXDCITQ</v>
      </c>
      <c r="E326" s="1" t="s">
        <v>663</v>
      </c>
      <c r="F326" s="1" t="s">
        <v>655</v>
      </c>
      <c r="G326" s="1" t="s">
        <v>101</v>
      </c>
      <c r="H326" s="1" t="s">
        <v>81</v>
      </c>
      <c r="I326" s="1" t="s">
        <v>82</v>
      </c>
      <c r="J326" s="1"/>
    </row>
    <row r="327" spans="1:10" ht="12.75" x14ac:dyDescent="0.2">
      <c r="A327" s="1" t="s">
        <v>6</v>
      </c>
      <c r="B327" s="1" t="s">
        <v>56</v>
      </c>
      <c r="C327" s="1">
        <v>1</v>
      </c>
      <c r="D327" s="1" t="str">
        <f t="shared" si="5"/>
        <v>NCPRNSAXDCITQ</v>
      </c>
      <c r="E327" s="1" t="s">
        <v>664</v>
      </c>
      <c r="F327" s="1" t="s">
        <v>655</v>
      </c>
      <c r="G327" s="1" t="s">
        <v>101</v>
      </c>
      <c r="H327" s="1" t="s">
        <v>81</v>
      </c>
      <c r="I327" s="1" t="s">
        <v>84</v>
      </c>
      <c r="J327" s="1"/>
    </row>
    <row r="328" spans="1:10" ht="12.75" x14ac:dyDescent="0.2">
      <c r="A328" s="1" t="s">
        <v>6</v>
      </c>
      <c r="B328" s="1" t="s">
        <v>56</v>
      </c>
      <c r="C328" s="1">
        <v>1</v>
      </c>
      <c r="D328" s="1" t="str">
        <f t="shared" si="5"/>
        <v>NIRNSAXDCITQ</v>
      </c>
      <c r="E328" s="1" t="s">
        <v>665</v>
      </c>
      <c r="F328" s="1" t="s">
        <v>655</v>
      </c>
      <c r="G328" s="1" t="s">
        <v>101</v>
      </c>
      <c r="H328" s="1" t="s">
        <v>81</v>
      </c>
      <c r="I328" s="1" t="s">
        <v>86</v>
      </c>
      <c r="J328" s="1"/>
    </row>
    <row r="329" spans="1:10" ht="12.75" x14ac:dyDescent="0.2">
      <c r="A329" s="1" t="s">
        <v>6</v>
      </c>
      <c r="B329" s="1" t="s">
        <v>56</v>
      </c>
      <c r="C329" s="1">
        <v>1</v>
      </c>
      <c r="D329" s="1" t="str">
        <f t="shared" si="5"/>
        <v>NINVRNSAXDCITQ</v>
      </c>
      <c r="E329" s="1" t="s">
        <v>666</v>
      </c>
      <c r="F329" s="1" t="s">
        <v>655</v>
      </c>
      <c r="G329" s="1" t="s">
        <v>101</v>
      </c>
      <c r="H329" s="1" t="s">
        <v>81</v>
      </c>
      <c r="I329" s="1" t="s">
        <v>88</v>
      </c>
      <c r="J329" s="1"/>
    </row>
    <row r="330" spans="1:10" ht="12.75" x14ac:dyDescent="0.2">
      <c r="A330" s="1" t="s">
        <v>6</v>
      </c>
      <c r="B330" s="1" t="s">
        <v>56</v>
      </c>
      <c r="C330" s="1">
        <v>1</v>
      </c>
      <c r="D330" s="1" t="str">
        <f t="shared" si="5"/>
        <v>NCGGRNSAXDCITQ</v>
      </c>
      <c r="E330" s="1" t="s">
        <v>667</v>
      </c>
      <c r="F330" s="1" t="s">
        <v>655</v>
      </c>
      <c r="G330" s="1" t="s">
        <v>101</v>
      </c>
      <c r="H330" s="1" t="s">
        <v>81</v>
      </c>
      <c r="I330" s="1" t="s">
        <v>90</v>
      </c>
      <c r="J330" s="1"/>
    </row>
    <row r="331" spans="1:10" ht="12.75" x14ac:dyDescent="0.2">
      <c r="A331" s="1" t="s">
        <v>6</v>
      </c>
      <c r="B331" s="1" t="s">
        <v>56</v>
      </c>
      <c r="C331" s="1">
        <v>1</v>
      </c>
      <c r="D331" s="1" t="str">
        <f t="shared" si="5"/>
        <v>NXRNSAXDCITQ</v>
      </c>
      <c r="E331" s="1" t="s">
        <v>668</v>
      </c>
      <c r="F331" s="1" t="s">
        <v>655</v>
      </c>
      <c r="G331" s="1" t="s">
        <v>101</v>
      </c>
      <c r="H331" s="1" t="s">
        <v>81</v>
      </c>
      <c r="I331" s="1" t="s">
        <v>92</v>
      </c>
      <c r="J331" s="1"/>
    </row>
    <row r="332" spans="1:10" ht="12.75" x14ac:dyDescent="0.2">
      <c r="A332" s="1" t="s">
        <v>6</v>
      </c>
      <c r="B332" s="1" t="s">
        <v>56</v>
      </c>
      <c r="C332" s="1">
        <v>1</v>
      </c>
      <c r="D332" s="1" t="str">
        <f t="shared" si="5"/>
        <v>NMRNSAXDCITQ</v>
      </c>
      <c r="E332" s="1" t="s">
        <v>669</v>
      </c>
      <c r="F332" s="1" t="s">
        <v>655</v>
      </c>
      <c r="G332" s="1" t="s">
        <v>101</v>
      </c>
      <c r="H332" s="1" t="s">
        <v>81</v>
      </c>
      <c r="I332" s="1" t="s">
        <v>94</v>
      </c>
      <c r="J332" s="1"/>
    </row>
    <row r="333" spans="1:10" ht="12.75" x14ac:dyDescent="0.2">
      <c r="A333" s="1" t="s">
        <v>6</v>
      </c>
      <c r="B333" s="1" t="s">
        <v>56</v>
      </c>
      <c r="C333" s="1">
        <v>1</v>
      </c>
      <c r="D333" s="1" t="str">
        <f t="shared" si="5"/>
        <v>NFIRNSAXDCITQ</v>
      </c>
      <c r="E333" s="1" t="s">
        <v>670</v>
      </c>
      <c r="F333" s="1" t="s">
        <v>655</v>
      </c>
      <c r="G333" s="1" t="s">
        <v>101</v>
      </c>
      <c r="H333" s="1" t="s">
        <v>81</v>
      </c>
      <c r="I333" s="1" t="s">
        <v>98</v>
      </c>
      <c r="J333" s="1"/>
    </row>
    <row r="334" spans="1:10" ht="12.75" x14ac:dyDescent="0.2">
      <c r="A334" s="1" t="s">
        <v>6</v>
      </c>
      <c r="B334" s="1" t="s">
        <v>671</v>
      </c>
      <c r="C334" s="1">
        <v>1</v>
      </c>
      <c r="D334" s="1" t="str">
        <f t="shared" si="5"/>
        <v>QITN628BIS</v>
      </c>
      <c r="E334" s="1" t="s">
        <v>672</v>
      </c>
      <c r="F334" s="1" t="s">
        <v>673</v>
      </c>
      <c r="G334" s="1" t="s">
        <v>101</v>
      </c>
      <c r="H334" s="1" t="s">
        <v>311</v>
      </c>
      <c r="I334" s="1" t="s">
        <v>674</v>
      </c>
      <c r="J334" s="1"/>
    </row>
    <row r="335" spans="1:10" ht="12.75" x14ac:dyDescent="0.2">
      <c r="A335" s="1" t="s">
        <v>6</v>
      </c>
      <c r="B335" s="1" t="s">
        <v>671</v>
      </c>
      <c r="C335" s="1">
        <v>1</v>
      </c>
      <c r="D335" s="1" t="str">
        <f t="shared" si="5"/>
        <v>QITR628BIS</v>
      </c>
      <c r="E335" s="1" t="s">
        <v>675</v>
      </c>
      <c r="F335" s="1" t="s">
        <v>673</v>
      </c>
      <c r="G335" s="1" t="s">
        <v>101</v>
      </c>
      <c r="H335" s="1" t="s">
        <v>311</v>
      </c>
      <c r="I335" s="1" t="s">
        <v>676</v>
      </c>
      <c r="J335" s="1"/>
    </row>
    <row r="336" spans="1:10" ht="12.75" x14ac:dyDescent="0.2">
      <c r="A336" s="1" t="s">
        <v>6</v>
      </c>
      <c r="B336" s="1" t="s">
        <v>671</v>
      </c>
      <c r="C336" s="1">
        <v>1</v>
      </c>
      <c r="D336" s="1" t="str">
        <f t="shared" si="5"/>
        <v>CRDQITAHABIS</v>
      </c>
      <c r="E336" s="1" t="s">
        <v>677</v>
      </c>
      <c r="F336" s="1" t="s">
        <v>678</v>
      </c>
      <c r="G336" s="1" t="s">
        <v>101</v>
      </c>
      <c r="H336" s="1" t="s">
        <v>679</v>
      </c>
      <c r="I336" s="1" t="s">
        <v>680</v>
      </c>
      <c r="J336" s="1"/>
    </row>
    <row r="337" spans="1:10" ht="12.75" x14ac:dyDescent="0.2">
      <c r="A337" s="1" t="s">
        <v>6</v>
      </c>
      <c r="B337" s="1" t="s">
        <v>671</v>
      </c>
      <c r="C337" s="1">
        <v>1</v>
      </c>
      <c r="D337" s="1" t="str">
        <f t="shared" si="5"/>
        <v>CRDQITAHUBIS</v>
      </c>
      <c r="E337" s="1" t="s">
        <v>681</v>
      </c>
      <c r="F337" s="1" t="s">
        <v>678</v>
      </c>
      <c r="G337" s="1" t="s">
        <v>101</v>
      </c>
      <c r="H337" s="1" t="s">
        <v>679</v>
      </c>
      <c r="I337" s="1" t="s">
        <v>682</v>
      </c>
      <c r="J337" s="1"/>
    </row>
    <row r="338" spans="1:10" ht="12.75" x14ac:dyDescent="0.2">
      <c r="A338" s="1" t="s">
        <v>6</v>
      </c>
      <c r="B338" s="1" t="s">
        <v>671</v>
      </c>
      <c r="C338" s="1">
        <v>1</v>
      </c>
      <c r="D338" s="1" t="str">
        <f t="shared" si="5"/>
        <v>CRDQITANABIS</v>
      </c>
      <c r="E338" s="1" t="s">
        <v>683</v>
      </c>
      <c r="F338" s="1" t="s">
        <v>678</v>
      </c>
      <c r="G338" s="1" t="s">
        <v>101</v>
      </c>
      <c r="H338" s="1" t="s">
        <v>679</v>
      </c>
      <c r="I338" s="1" t="s">
        <v>684</v>
      </c>
      <c r="J338" s="1"/>
    </row>
    <row r="339" spans="1:10" ht="12.75" x14ac:dyDescent="0.2">
      <c r="A339" s="1" t="s">
        <v>6</v>
      </c>
      <c r="B339" s="1" t="s">
        <v>671</v>
      </c>
      <c r="C339" s="1">
        <v>1</v>
      </c>
      <c r="D339" s="1" t="str">
        <f t="shared" si="5"/>
        <v>CRDQITAPABIS</v>
      </c>
      <c r="E339" s="1" t="s">
        <v>685</v>
      </c>
      <c r="F339" s="1" t="s">
        <v>678</v>
      </c>
      <c r="G339" s="1" t="s">
        <v>101</v>
      </c>
      <c r="H339" s="1" t="s">
        <v>679</v>
      </c>
      <c r="I339" s="1" t="s">
        <v>686</v>
      </c>
      <c r="J339" s="1"/>
    </row>
    <row r="340" spans="1:10" ht="12.75" x14ac:dyDescent="0.2">
      <c r="A340" s="1" t="s">
        <v>6</v>
      </c>
      <c r="B340" s="1" t="s">
        <v>671</v>
      </c>
      <c r="C340" s="1">
        <v>1</v>
      </c>
      <c r="D340" s="1" t="str">
        <f t="shared" si="5"/>
        <v>CRDQITAPUBIS</v>
      </c>
      <c r="E340" s="1" t="s">
        <v>687</v>
      </c>
      <c r="F340" s="1" t="s">
        <v>678</v>
      </c>
      <c r="G340" s="1" t="s">
        <v>101</v>
      </c>
      <c r="H340" s="1" t="s">
        <v>679</v>
      </c>
      <c r="I340" s="1" t="s">
        <v>688</v>
      </c>
      <c r="J340" s="1"/>
    </row>
    <row r="341" spans="1:10" ht="12.75" x14ac:dyDescent="0.2">
      <c r="A341" s="1" t="s">
        <v>6</v>
      </c>
      <c r="B341" s="1" t="s">
        <v>671</v>
      </c>
      <c r="C341" s="1">
        <v>1</v>
      </c>
      <c r="D341" s="1" t="str">
        <f t="shared" si="5"/>
        <v>CRDQITBPABIS</v>
      </c>
      <c r="E341" s="1" t="s">
        <v>689</v>
      </c>
      <c r="F341" s="1" t="s">
        <v>678</v>
      </c>
      <c r="G341" s="1" t="s">
        <v>101</v>
      </c>
      <c r="H341" s="1" t="s">
        <v>679</v>
      </c>
      <c r="I341" s="1" t="s">
        <v>690</v>
      </c>
      <c r="J341" s="1"/>
    </row>
    <row r="342" spans="1:10" ht="12.75" x14ac:dyDescent="0.2">
      <c r="A342" s="1" t="s">
        <v>6</v>
      </c>
      <c r="B342" s="1" t="s">
        <v>671</v>
      </c>
      <c r="C342" s="1">
        <v>1</v>
      </c>
      <c r="D342" s="1" t="str">
        <f t="shared" si="5"/>
        <v>CRDQITBPUBIS</v>
      </c>
      <c r="E342" s="1" t="s">
        <v>691</v>
      </c>
      <c r="F342" s="1" t="s">
        <v>678</v>
      </c>
      <c r="G342" s="1" t="s">
        <v>101</v>
      </c>
      <c r="H342" s="1" t="s">
        <v>679</v>
      </c>
      <c r="I342" s="1" t="s">
        <v>692</v>
      </c>
      <c r="J342" s="1"/>
    </row>
    <row r="343" spans="1:10" ht="12.75" x14ac:dyDescent="0.2">
      <c r="A343" s="1" t="s">
        <v>6</v>
      </c>
      <c r="B343" s="1" t="s">
        <v>671</v>
      </c>
      <c r="C343" s="1">
        <v>1</v>
      </c>
      <c r="D343" s="1" t="str">
        <f t="shared" si="5"/>
        <v>QITCAM770A</v>
      </c>
      <c r="E343" s="1" t="s">
        <v>693</v>
      </c>
      <c r="F343" s="1" t="s">
        <v>694</v>
      </c>
      <c r="G343" s="1" t="s">
        <v>101</v>
      </c>
      <c r="H343" s="1" t="s">
        <v>679</v>
      </c>
      <c r="I343" s="1" t="s">
        <v>695</v>
      </c>
      <c r="J343" s="1"/>
    </row>
    <row r="344" spans="1:10" ht="12.75" x14ac:dyDescent="0.2">
      <c r="A344" s="1" t="s">
        <v>6</v>
      </c>
      <c r="B344" s="1" t="s">
        <v>671</v>
      </c>
      <c r="C344" s="1">
        <v>1</v>
      </c>
      <c r="D344" s="1" t="str">
        <f t="shared" si="5"/>
        <v>QITGAM770A</v>
      </c>
      <c r="E344" s="1" t="s">
        <v>696</v>
      </c>
      <c r="F344" s="1" t="s">
        <v>694</v>
      </c>
      <c r="G344" s="1" t="s">
        <v>101</v>
      </c>
      <c r="H344" s="1" t="s">
        <v>679</v>
      </c>
      <c r="I344" s="1" t="s">
        <v>697</v>
      </c>
      <c r="J344" s="1"/>
    </row>
    <row r="345" spans="1:10" ht="12.75" x14ac:dyDescent="0.2">
      <c r="A345" s="1" t="s">
        <v>6</v>
      </c>
      <c r="B345" s="1" t="s">
        <v>671</v>
      </c>
      <c r="C345" s="1">
        <v>1</v>
      </c>
      <c r="D345" s="1" t="str">
        <f t="shared" si="5"/>
        <v>QITHAM770A</v>
      </c>
      <c r="E345" s="1" t="s">
        <v>698</v>
      </c>
      <c r="F345" s="1" t="s">
        <v>694</v>
      </c>
      <c r="G345" s="1" t="s">
        <v>101</v>
      </c>
      <c r="H345" s="1" t="s">
        <v>679</v>
      </c>
      <c r="I345" s="1" t="s">
        <v>699</v>
      </c>
      <c r="J345" s="1"/>
    </row>
    <row r="346" spans="1:10" ht="12.75" x14ac:dyDescent="0.2">
      <c r="A346" s="1" t="s">
        <v>6</v>
      </c>
      <c r="B346" s="1" t="s">
        <v>671</v>
      </c>
      <c r="C346" s="1">
        <v>1</v>
      </c>
      <c r="D346" s="1" t="str">
        <f t="shared" si="5"/>
        <v>QITNAM770A</v>
      </c>
      <c r="E346" s="1" t="s">
        <v>700</v>
      </c>
      <c r="F346" s="1" t="s">
        <v>694</v>
      </c>
      <c r="G346" s="1" t="s">
        <v>101</v>
      </c>
      <c r="H346" s="1" t="s">
        <v>679</v>
      </c>
      <c r="I346" s="1" t="s">
        <v>684</v>
      </c>
      <c r="J346" s="1"/>
    </row>
    <row r="347" spans="1:10" ht="12.75" x14ac:dyDescent="0.2">
      <c r="A347" s="1" t="s">
        <v>6</v>
      </c>
      <c r="B347" s="1" t="s">
        <v>671</v>
      </c>
      <c r="C347" s="1">
        <v>1</v>
      </c>
      <c r="D347" s="1" t="str">
        <f t="shared" si="5"/>
        <v>QITPAM770A</v>
      </c>
      <c r="E347" s="1" t="s">
        <v>701</v>
      </c>
      <c r="F347" s="1" t="s">
        <v>694</v>
      </c>
      <c r="G347" s="1" t="s">
        <v>101</v>
      </c>
      <c r="H347" s="1" t="s">
        <v>679</v>
      </c>
      <c r="I347" s="1" t="s">
        <v>686</v>
      </c>
      <c r="J347" s="1"/>
    </row>
    <row r="348" spans="1:10" ht="12.75" x14ac:dyDescent="0.2">
      <c r="A348" s="1" t="s">
        <v>6</v>
      </c>
      <c r="B348" s="1" t="s">
        <v>671</v>
      </c>
      <c r="C348" s="1">
        <v>1</v>
      </c>
      <c r="D348" s="1" t="str">
        <f t="shared" si="5"/>
        <v>QITPBM770A</v>
      </c>
      <c r="E348" s="1" t="s">
        <v>702</v>
      </c>
      <c r="F348" s="1" t="s">
        <v>694</v>
      </c>
      <c r="G348" s="1" t="s">
        <v>101</v>
      </c>
      <c r="H348" s="1" t="s">
        <v>679</v>
      </c>
      <c r="I348" s="1" t="s">
        <v>703</v>
      </c>
      <c r="J348" s="1"/>
    </row>
    <row r="349" spans="1:10" ht="12.75" x14ac:dyDescent="0.2">
      <c r="A349" s="1" t="s">
        <v>6</v>
      </c>
      <c r="B349" s="1" t="s">
        <v>671</v>
      </c>
      <c r="C349" s="1">
        <v>1</v>
      </c>
      <c r="D349" s="1" t="str">
        <f t="shared" si="5"/>
        <v>NBITBIS</v>
      </c>
      <c r="E349" s="1" t="s">
        <v>704</v>
      </c>
      <c r="F349" s="1" t="s">
        <v>705</v>
      </c>
      <c r="G349" s="1" t="s">
        <v>101</v>
      </c>
      <c r="H349" s="1" t="s">
        <v>679</v>
      </c>
      <c r="I349" s="1" t="s">
        <v>706</v>
      </c>
      <c r="J349" s="1"/>
    </row>
    <row r="350" spans="1:10" ht="12.75" x14ac:dyDescent="0.2">
      <c r="A350" s="1" t="s">
        <v>6</v>
      </c>
      <c r="B350" s="1" t="s">
        <v>671</v>
      </c>
      <c r="C350" s="1">
        <v>1</v>
      </c>
      <c r="D350" s="1" t="str">
        <f t="shared" si="5"/>
        <v>NNITBIS</v>
      </c>
      <c r="E350" s="1" t="s">
        <v>707</v>
      </c>
      <c r="F350" s="1" t="s">
        <v>705</v>
      </c>
      <c r="G350" s="1" t="s">
        <v>101</v>
      </c>
      <c r="H350" s="1" t="s">
        <v>679</v>
      </c>
      <c r="I350" s="1" t="s">
        <v>708</v>
      </c>
      <c r="J350" s="1"/>
    </row>
    <row r="351" spans="1:10" ht="12.75" x14ac:dyDescent="0.2">
      <c r="A351" s="1" t="s">
        <v>6</v>
      </c>
      <c r="B351" s="1" t="s">
        <v>671</v>
      </c>
      <c r="C351" s="1">
        <v>1</v>
      </c>
      <c r="D351" s="1" t="str">
        <f t="shared" si="5"/>
        <v>RBITBIS</v>
      </c>
      <c r="E351" s="1" t="s">
        <v>709</v>
      </c>
      <c r="F351" s="1" t="s">
        <v>705</v>
      </c>
      <c r="G351" s="1" t="s">
        <v>101</v>
      </c>
      <c r="H351" s="1" t="s">
        <v>679</v>
      </c>
      <c r="I351" s="1" t="s">
        <v>710</v>
      </c>
      <c r="J351" s="1"/>
    </row>
    <row r="352" spans="1:10" ht="12.75" x14ac:dyDescent="0.2">
      <c r="A352" s="1" t="s">
        <v>6</v>
      </c>
      <c r="B352" s="1" t="s">
        <v>671</v>
      </c>
      <c r="C352" s="1">
        <v>1</v>
      </c>
      <c r="D352" s="1" t="str">
        <f t="shared" si="5"/>
        <v>RNITBIS</v>
      </c>
      <c r="E352" s="1" t="s">
        <v>711</v>
      </c>
      <c r="F352" s="1" t="s">
        <v>705</v>
      </c>
      <c r="G352" s="1" t="s">
        <v>101</v>
      </c>
      <c r="H352" s="1" t="s">
        <v>679</v>
      </c>
      <c r="I352" s="1" t="s">
        <v>712</v>
      </c>
      <c r="J352" s="1"/>
    </row>
  </sheetData>
  <autoFilter ref="A1:I352" xr:uid="{9D122219-2A67-4A2F-BEF5-3BA4417AC64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774E-502B-4B6E-AD1D-BFC337897B06}">
  <dimension ref="A1:S561"/>
  <sheetViews>
    <sheetView tabSelected="1" topLeftCell="C1" zoomScale="87" zoomScaleNormal="87" workbookViewId="0">
      <selection activeCell="K2" sqref="K2"/>
    </sheetView>
  </sheetViews>
  <sheetFormatPr defaultColWidth="9.140625" defaultRowHeight="15" x14ac:dyDescent="0.25"/>
  <cols>
    <col min="1" max="1" width="12" style="1" bestFit="1" customWidth="1"/>
    <col min="2" max="2" width="9.140625" style="1"/>
    <col min="3" max="3" width="9.85546875" style="1" customWidth="1"/>
    <col min="4" max="4" width="9.5703125" style="1" customWidth="1"/>
    <col min="5" max="5" width="25.5703125" style="1" bestFit="1" customWidth="1"/>
    <col min="6" max="6" width="37.42578125" style="1" customWidth="1"/>
    <col min="7" max="7" width="34.7109375" style="1" customWidth="1"/>
    <col min="8" max="8" width="41" style="1" bestFit="1" customWidth="1"/>
    <col min="9" max="9" width="11.85546875" style="1" customWidth="1"/>
    <col min="10" max="10" width="23.5703125" style="1" bestFit="1" customWidth="1"/>
    <col min="11" max="11" width="15.5703125" style="1" customWidth="1"/>
    <col min="12" max="12" width="22.42578125" bestFit="1" customWidth="1"/>
    <col min="13" max="16384" width="9.140625" style="1"/>
  </cols>
  <sheetData>
    <row r="1" spans="1:19" s="2" customFormat="1" ht="12.75" x14ac:dyDescent="0.2">
      <c r="A1" s="2" t="s">
        <v>0</v>
      </c>
      <c r="B1" s="2" t="s">
        <v>1</v>
      </c>
      <c r="C1" s="2" t="s">
        <v>2013</v>
      </c>
      <c r="D1" s="2" t="s">
        <v>1941</v>
      </c>
      <c r="E1" s="2" t="s">
        <v>1942</v>
      </c>
      <c r="F1" s="2" t="s">
        <v>1863</v>
      </c>
      <c r="G1" s="2" t="s">
        <v>2010</v>
      </c>
      <c r="H1" s="2" t="s">
        <v>2011</v>
      </c>
      <c r="I1" s="2" t="s">
        <v>1862</v>
      </c>
      <c r="K1" s="2" t="s">
        <v>1861</v>
      </c>
      <c r="L1" s="2" t="s">
        <v>1860</v>
      </c>
      <c r="M1" s="2" t="s">
        <v>1859</v>
      </c>
      <c r="N1" s="2" t="s">
        <v>1858</v>
      </c>
      <c r="O1" s="2" t="s">
        <v>1857</v>
      </c>
      <c r="P1" s="2" t="s">
        <v>1948</v>
      </c>
      <c r="Q1" s="2" t="s">
        <v>1856</v>
      </c>
      <c r="R1" s="2" t="s">
        <v>1947</v>
      </c>
      <c r="S1" s="2" t="s">
        <v>1949</v>
      </c>
    </row>
    <row r="2" spans="1:19" ht="12.75" x14ac:dyDescent="0.2">
      <c r="A2" s="1" t="s">
        <v>308</v>
      </c>
      <c r="B2" s="1" t="s">
        <v>308</v>
      </c>
      <c r="C2" s="1">
        <v>1</v>
      </c>
      <c r="D2" s="1">
        <v>1</v>
      </c>
      <c r="E2" s="1" t="s">
        <v>1943</v>
      </c>
      <c r="F2" s="1" t="s">
        <v>2128</v>
      </c>
      <c r="G2" s="1" t="s">
        <v>2128</v>
      </c>
      <c r="H2" s="1" t="str">
        <f>+I2&amp;"_"&amp;L2</f>
        <v>ei_bsbu_m_r2_BS-CCI-BAL</v>
      </c>
      <c r="I2" s="1" t="s">
        <v>1848</v>
      </c>
      <c r="K2" s="1" t="s">
        <v>1780</v>
      </c>
      <c r="L2" s="1" t="s">
        <v>1855</v>
      </c>
      <c r="M2" s="1" t="s">
        <v>1854</v>
      </c>
      <c r="O2" s="1" t="s">
        <v>101</v>
      </c>
      <c r="P2" s="1" t="s">
        <v>10</v>
      </c>
      <c r="Q2" s="1" t="s">
        <v>724</v>
      </c>
      <c r="S2" s="1" t="s">
        <v>1905</v>
      </c>
    </row>
    <row r="3" spans="1:19" ht="12.75" x14ac:dyDescent="0.2">
      <c r="A3" s="1" t="s">
        <v>308</v>
      </c>
      <c r="B3" s="1" t="s">
        <v>308</v>
      </c>
      <c r="C3" s="1">
        <v>1</v>
      </c>
      <c r="D3" s="1">
        <v>1</v>
      </c>
      <c r="E3" s="1" t="s">
        <v>1943</v>
      </c>
      <c r="F3" s="1" t="s">
        <v>2128</v>
      </c>
      <c r="G3" s="1" t="s">
        <v>2128</v>
      </c>
      <c r="H3" s="1" t="str">
        <f t="shared" ref="H3:H66" si="0">+I3&amp;"_"&amp;L3</f>
        <v>ei_bsbu_m_r2_BS-CEME-BAL</v>
      </c>
      <c r="I3" s="1" t="s">
        <v>1848</v>
      </c>
      <c r="K3" s="1" t="s">
        <v>1780</v>
      </c>
      <c r="L3" s="1" t="s">
        <v>1853</v>
      </c>
      <c r="M3" s="1" t="s">
        <v>1852</v>
      </c>
      <c r="O3" s="1" t="s">
        <v>101</v>
      </c>
      <c r="P3" s="1" t="s">
        <v>10</v>
      </c>
      <c r="Q3" s="1" t="s">
        <v>724</v>
      </c>
      <c r="S3" s="1" t="s">
        <v>1905</v>
      </c>
    </row>
    <row r="4" spans="1:19" ht="12.75" x14ac:dyDescent="0.2">
      <c r="A4" s="1" t="s">
        <v>308</v>
      </c>
      <c r="B4" s="1" t="s">
        <v>308</v>
      </c>
      <c r="C4" s="1">
        <v>1</v>
      </c>
      <c r="D4" s="1">
        <v>1</v>
      </c>
      <c r="E4" s="1" t="s">
        <v>1943</v>
      </c>
      <c r="F4" s="1" t="s">
        <v>2128</v>
      </c>
      <c r="G4" s="1" t="s">
        <v>2128</v>
      </c>
      <c r="H4" s="1" t="str">
        <f t="shared" si="0"/>
        <v>ei_bsbu_m_r2_BS-COB-BAL</v>
      </c>
      <c r="I4" s="1" t="s">
        <v>1848</v>
      </c>
      <c r="K4" s="1" t="s">
        <v>1780</v>
      </c>
      <c r="L4" s="1" t="s">
        <v>1851</v>
      </c>
      <c r="M4" s="1" t="s">
        <v>1850</v>
      </c>
      <c r="O4" s="1" t="s">
        <v>101</v>
      </c>
      <c r="P4" s="1" t="s">
        <v>10</v>
      </c>
      <c r="Q4" s="1" t="s">
        <v>724</v>
      </c>
      <c r="S4" s="1" t="s">
        <v>1905</v>
      </c>
    </row>
    <row r="5" spans="1:19" ht="12.75" x14ac:dyDescent="0.2">
      <c r="A5" s="1" t="s">
        <v>308</v>
      </c>
      <c r="B5" s="1" t="s">
        <v>308</v>
      </c>
      <c r="C5" s="1">
        <v>1</v>
      </c>
      <c r="D5" s="1">
        <v>1</v>
      </c>
      <c r="E5" s="1" t="s">
        <v>1943</v>
      </c>
      <c r="F5" s="1" t="s">
        <v>2128</v>
      </c>
      <c r="G5" s="1" t="s">
        <v>2128</v>
      </c>
      <c r="H5" s="1" t="str">
        <f t="shared" si="0"/>
        <v>ei_bsbu_m_r2_BS-CPE-BAL</v>
      </c>
      <c r="I5" s="1" t="s">
        <v>1848</v>
      </c>
      <c r="K5" s="1" t="s">
        <v>1780</v>
      </c>
      <c r="L5" s="1" t="s">
        <v>1849</v>
      </c>
      <c r="M5" s="1" t="s">
        <v>1793</v>
      </c>
      <c r="O5" s="1" t="s">
        <v>101</v>
      </c>
      <c r="P5" s="1" t="s">
        <v>10</v>
      </c>
      <c r="Q5" s="1" t="s">
        <v>724</v>
      </c>
      <c r="S5" s="1" t="s">
        <v>1905</v>
      </c>
    </row>
    <row r="6" spans="1:19" ht="12.75" x14ac:dyDescent="0.2">
      <c r="A6" s="1" t="s">
        <v>308</v>
      </c>
      <c r="B6" s="1" t="s">
        <v>308</v>
      </c>
      <c r="C6" s="1">
        <v>1</v>
      </c>
      <c r="D6" s="1">
        <v>1</v>
      </c>
      <c r="E6" s="1" t="s">
        <v>1943</v>
      </c>
      <c r="F6" s="1" t="s">
        <v>2128</v>
      </c>
      <c r="G6" s="1" t="s">
        <v>2128</v>
      </c>
      <c r="H6" s="1" t="str">
        <f t="shared" si="0"/>
        <v>ei_bsbu_m_r2_BS-CTA-BAL</v>
      </c>
      <c r="I6" s="1" t="s">
        <v>1848</v>
      </c>
      <c r="K6" s="1" t="s">
        <v>1780</v>
      </c>
      <c r="L6" s="1" t="s">
        <v>1847</v>
      </c>
      <c r="M6" s="1" t="s">
        <v>1846</v>
      </c>
      <c r="O6" s="1" t="s">
        <v>101</v>
      </c>
      <c r="P6" s="1" t="s">
        <v>10</v>
      </c>
      <c r="Q6" s="1" t="s">
        <v>724</v>
      </c>
      <c r="S6" s="1" t="s">
        <v>1905</v>
      </c>
    </row>
    <row r="7" spans="1:19" ht="12.75" x14ac:dyDescent="0.2">
      <c r="A7" s="1" t="s">
        <v>308</v>
      </c>
      <c r="B7" s="1" t="s">
        <v>308</v>
      </c>
      <c r="C7" s="1">
        <v>1</v>
      </c>
      <c r="D7" s="1">
        <v>1</v>
      </c>
      <c r="E7" s="1" t="s">
        <v>1943</v>
      </c>
      <c r="F7" s="1" t="s">
        <v>2129</v>
      </c>
      <c r="G7" s="1" t="s">
        <v>2129</v>
      </c>
      <c r="H7" s="1" t="str">
        <f t="shared" si="0"/>
        <v>ei_bsco_m_BS-CSMCI</v>
      </c>
      <c r="I7" s="1" t="s">
        <v>1823</v>
      </c>
      <c r="K7" s="1" t="s">
        <v>1780</v>
      </c>
      <c r="L7" s="1" t="s">
        <v>1845</v>
      </c>
      <c r="M7" s="1" t="s">
        <v>1844</v>
      </c>
      <c r="O7" s="1" t="s">
        <v>101</v>
      </c>
      <c r="P7" s="1" t="s">
        <v>10</v>
      </c>
      <c r="Q7" s="1" t="s">
        <v>724</v>
      </c>
      <c r="S7" s="1" t="s">
        <v>1905</v>
      </c>
    </row>
    <row r="8" spans="1:19" ht="12.75" x14ac:dyDescent="0.2">
      <c r="A8" s="1" t="s">
        <v>308</v>
      </c>
      <c r="B8" s="1" t="s">
        <v>308</v>
      </c>
      <c r="C8" s="1">
        <v>1</v>
      </c>
      <c r="D8" s="1">
        <v>1</v>
      </c>
      <c r="E8" s="1" t="s">
        <v>1943</v>
      </c>
      <c r="F8" s="1" t="s">
        <v>2129</v>
      </c>
      <c r="G8" s="1" t="s">
        <v>2129</v>
      </c>
      <c r="H8" s="1" t="str">
        <f t="shared" si="0"/>
        <v>ei_bsco_m_BS-FS-LY</v>
      </c>
      <c r="I8" s="1" t="s">
        <v>1823</v>
      </c>
      <c r="K8" s="1" t="s">
        <v>1780</v>
      </c>
      <c r="L8" s="1" t="s">
        <v>1843</v>
      </c>
      <c r="M8" s="1" t="s">
        <v>1842</v>
      </c>
      <c r="O8" s="1" t="s">
        <v>101</v>
      </c>
      <c r="P8" s="1" t="s">
        <v>10</v>
      </c>
      <c r="Q8" s="1" t="s">
        <v>724</v>
      </c>
      <c r="S8" s="1" t="s">
        <v>1905</v>
      </c>
    </row>
    <row r="9" spans="1:19" ht="12.75" x14ac:dyDescent="0.2">
      <c r="A9" s="1" t="s">
        <v>308</v>
      </c>
      <c r="B9" s="1" t="s">
        <v>308</v>
      </c>
      <c r="C9" s="1">
        <v>1</v>
      </c>
      <c r="D9" s="1">
        <v>1</v>
      </c>
      <c r="E9" s="1" t="s">
        <v>1943</v>
      </c>
      <c r="F9" s="1" t="s">
        <v>2129</v>
      </c>
      <c r="G9" s="1" t="s">
        <v>2129</v>
      </c>
      <c r="H9" s="1" t="str">
        <f t="shared" si="0"/>
        <v>ei_bsco_m_BS-FS-NY</v>
      </c>
      <c r="I9" s="1" t="s">
        <v>1823</v>
      </c>
      <c r="K9" s="1" t="s">
        <v>1780</v>
      </c>
      <c r="L9" s="1" t="s">
        <v>1841</v>
      </c>
      <c r="M9" s="1" t="s">
        <v>1840</v>
      </c>
      <c r="O9" s="1" t="s">
        <v>101</v>
      </c>
      <c r="P9" s="1" t="s">
        <v>10</v>
      </c>
      <c r="Q9" s="1" t="s">
        <v>724</v>
      </c>
      <c r="S9" s="1" t="s">
        <v>1905</v>
      </c>
    </row>
    <row r="10" spans="1:19" ht="12.75" x14ac:dyDescent="0.2">
      <c r="A10" s="1" t="s">
        <v>308</v>
      </c>
      <c r="B10" s="1" t="s">
        <v>308</v>
      </c>
      <c r="C10" s="1">
        <v>1</v>
      </c>
      <c r="D10" s="1">
        <v>1</v>
      </c>
      <c r="E10" s="1" t="s">
        <v>1943</v>
      </c>
      <c r="F10" s="1" t="s">
        <v>2129</v>
      </c>
      <c r="G10" s="1" t="s">
        <v>2129</v>
      </c>
      <c r="H10" s="1" t="str">
        <f t="shared" si="0"/>
        <v>ei_bsco_m_BS-GES-LY</v>
      </c>
      <c r="I10" s="1" t="s">
        <v>1823</v>
      </c>
      <c r="K10" s="1" t="s">
        <v>1780</v>
      </c>
      <c r="L10" s="1" t="s">
        <v>1839</v>
      </c>
      <c r="M10" s="1" t="s">
        <v>1838</v>
      </c>
      <c r="O10" s="1" t="s">
        <v>101</v>
      </c>
      <c r="P10" s="1" t="s">
        <v>10</v>
      </c>
      <c r="Q10" s="1" t="s">
        <v>724</v>
      </c>
      <c r="S10" s="1" t="s">
        <v>1905</v>
      </c>
    </row>
    <row r="11" spans="1:19" ht="12.75" x14ac:dyDescent="0.2">
      <c r="A11" s="1" t="s">
        <v>308</v>
      </c>
      <c r="B11" s="1" t="s">
        <v>308</v>
      </c>
      <c r="C11" s="1">
        <v>1</v>
      </c>
      <c r="D11" s="1">
        <v>1</v>
      </c>
      <c r="E11" s="1" t="s">
        <v>1943</v>
      </c>
      <c r="F11" s="1" t="s">
        <v>2129</v>
      </c>
      <c r="G11" s="1" t="s">
        <v>2129</v>
      </c>
      <c r="H11" s="1" t="str">
        <f t="shared" si="0"/>
        <v>ei_bsco_m_BS-GES-NY</v>
      </c>
      <c r="I11" s="1" t="s">
        <v>1823</v>
      </c>
      <c r="K11" s="1" t="s">
        <v>1780</v>
      </c>
      <c r="L11" s="1" t="s">
        <v>1837</v>
      </c>
      <c r="M11" s="1" t="s">
        <v>1836</v>
      </c>
      <c r="O11" s="1" t="s">
        <v>101</v>
      </c>
      <c r="P11" s="1" t="s">
        <v>10</v>
      </c>
      <c r="Q11" s="1" t="s">
        <v>724</v>
      </c>
      <c r="S11" s="1" t="s">
        <v>1905</v>
      </c>
    </row>
    <row r="12" spans="1:19" ht="12.75" x14ac:dyDescent="0.2">
      <c r="A12" s="1" t="s">
        <v>308</v>
      </c>
      <c r="B12" s="1" t="s">
        <v>308</v>
      </c>
      <c r="C12" s="1">
        <v>1</v>
      </c>
      <c r="D12" s="1">
        <v>1</v>
      </c>
      <c r="E12" s="1" t="s">
        <v>1943</v>
      </c>
      <c r="F12" s="1" t="s">
        <v>2129</v>
      </c>
      <c r="G12" s="1" t="s">
        <v>2129</v>
      </c>
      <c r="H12" s="1" t="str">
        <f t="shared" si="0"/>
        <v>ei_bsco_m_BS-MP-NY</v>
      </c>
      <c r="I12" s="1" t="s">
        <v>1823</v>
      </c>
      <c r="K12" s="1" t="s">
        <v>1780</v>
      </c>
      <c r="L12" s="1" t="s">
        <v>1835</v>
      </c>
      <c r="M12" s="1" t="s">
        <v>1834</v>
      </c>
      <c r="O12" s="1" t="s">
        <v>101</v>
      </c>
      <c r="P12" s="1" t="s">
        <v>10</v>
      </c>
      <c r="Q12" s="1" t="s">
        <v>724</v>
      </c>
      <c r="S12" s="1" t="s">
        <v>1905</v>
      </c>
    </row>
    <row r="13" spans="1:19" ht="12.75" x14ac:dyDescent="0.2">
      <c r="A13" s="1" t="s">
        <v>308</v>
      </c>
      <c r="B13" s="1" t="s">
        <v>308</v>
      </c>
      <c r="C13" s="1">
        <v>1</v>
      </c>
      <c r="D13" s="1">
        <v>1</v>
      </c>
      <c r="E13" s="1" t="s">
        <v>1943</v>
      </c>
      <c r="F13" s="1" t="s">
        <v>2129</v>
      </c>
      <c r="G13" s="1" t="s">
        <v>2129</v>
      </c>
      <c r="H13" s="1" t="str">
        <f t="shared" si="0"/>
        <v>ei_bsco_m_BS-MP-PR</v>
      </c>
      <c r="I13" s="1" t="s">
        <v>1823</v>
      </c>
      <c r="K13" s="1" t="s">
        <v>1780</v>
      </c>
      <c r="L13" s="1" t="s">
        <v>1833</v>
      </c>
      <c r="M13" s="1" t="s">
        <v>1832</v>
      </c>
      <c r="O13" s="1" t="s">
        <v>101</v>
      </c>
      <c r="P13" s="1" t="s">
        <v>10</v>
      </c>
      <c r="Q13" s="1" t="s">
        <v>724</v>
      </c>
      <c r="S13" s="1" t="s">
        <v>1905</v>
      </c>
    </row>
    <row r="14" spans="1:19" ht="12.75" x14ac:dyDescent="0.2">
      <c r="A14" s="1" t="s">
        <v>308</v>
      </c>
      <c r="B14" s="1" t="s">
        <v>308</v>
      </c>
      <c r="C14" s="1">
        <v>1</v>
      </c>
      <c r="D14" s="1">
        <v>1</v>
      </c>
      <c r="E14" s="1" t="s">
        <v>1943</v>
      </c>
      <c r="F14" s="1" t="s">
        <v>2129</v>
      </c>
      <c r="G14" s="1" t="s">
        <v>2129</v>
      </c>
      <c r="H14" s="1" t="str">
        <f t="shared" si="0"/>
        <v>ei_bsco_m_BS-PT-LY</v>
      </c>
      <c r="I14" s="1" t="s">
        <v>1823</v>
      </c>
      <c r="K14" s="1" t="s">
        <v>1780</v>
      </c>
      <c r="L14" s="1" t="s">
        <v>1831</v>
      </c>
      <c r="M14" s="1" t="s">
        <v>1830</v>
      </c>
      <c r="O14" s="1" t="s">
        <v>101</v>
      </c>
      <c r="P14" s="1" t="s">
        <v>10</v>
      </c>
      <c r="Q14" s="1" t="s">
        <v>724</v>
      </c>
      <c r="S14" s="1" t="s">
        <v>1905</v>
      </c>
    </row>
    <row r="15" spans="1:19" ht="12.75" x14ac:dyDescent="0.2">
      <c r="A15" s="1" t="s">
        <v>308</v>
      </c>
      <c r="B15" s="1" t="s">
        <v>308</v>
      </c>
      <c r="C15" s="1">
        <v>1</v>
      </c>
      <c r="D15" s="1">
        <v>1</v>
      </c>
      <c r="E15" s="1" t="s">
        <v>1943</v>
      </c>
      <c r="F15" s="1" t="s">
        <v>2129</v>
      </c>
      <c r="G15" s="1" t="s">
        <v>2129</v>
      </c>
      <c r="H15" s="1" t="str">
        <f t="shared" si="0"/>
        <v>ei_bsco_m_BS-PT-NY</v>
      </c>
      <c r="I15" s="1" t="s">
        <v>1823</v>
      </c>
      <c r="K15" s="1" t="s">
        <v>1780</v>
      </c>
      <c r="L15" s="1" t="s">
        <v>1829</v>
      </c>
      <c r="M15" s="1" t="s">
        <v>1828</v>
      </c>
      <c r="O15" s="1" t="s">
        <v>101</v>
      </c>
      <c r="P15" s="1" t="s">
        <v>10</v>
      </c>
      <c r="Q15" s="1" t="s">
        <v>724</v>
      </c>
      <c r="S15" s="1" t="s">
        <v>1905</v>
      </c>
    </row>
    <row r="16" spans="1:19" ht="12.75" x14ac:dyDescent="0.2">
      <c r="A16" s="1" t="s">
        <v>308</v>
      </c>
      <c r="B16" s="1" t="s">
        <v>308</v>
      </c>
      <c r="C16" s="1">
        <v>1</v>
      </c>
      <c r="D16" s="1">
        <v>1</v>
      </c>
      <c r="E16" s="1" t="s">
        <v>1943</v>
      </c>
      <c r="F16" s="1" t="s">
        <v>2129</v>
      </c>
      <c r="G16" s="1" t="s">
        <v>2129</v>
      </c>
      <c r="H16" s="1" t="str">
        <f t="shared" si="0"/>
        <v>ei_bsco_m_BS-SFSH</v>
      </c>
      <c r="I16" s="1" t="s">
        <v>1823</v>
      </c>
      <c r="K16" s="1" t="s">
        <v>1780</v>
      </c>
      <c r="L16" s="1" t="s">
        <v>1827</v>
      </c>
      <c r="M16" s="1" t="s">
        <v>1826</v>
      </c>
      <c r="O16" s="1" t="s">
        <v>101</v>
      </c>
      <c r="P16" s="1" t="s">
        <v>10</v>
      </c>
      <c r="Q16" s="1" t="s">
        <v>724</v>
      </c>
      <c r="S16" s="1" t="s">
        <v>1905</v>
      </c>
    </row>
    <row r="17" spans="1:19" ht="12.75" x14ac:dyDescent="0.2">
      <c r="A17" s="1" t="s">
        <v>308</v>
      </c>
      <c r="B17" s="1" t="s">
        <v>308</v>
      </c>
      <c r="C17" s="1">
        <v>1</v>
      </c>
      <c r="D17" s="1">
        <v>1</v>
      </c>
      <c r="E17" s="1" t="s">
        <v>1943</v>
      </c>
      <c r="F17" s="1" t="s">
        <v>2129</v>
      </c>
      <c r="G17" s="1" t="s">
        <v>2129</v>
      </c>
      <c r="H17" s="1" t="str">
        <f t="shared" si="0"/>
        <v>ei_bsco_m_BS-SV-NY</v>
      </c>
      <c r="I17" s="1" t="s">
        <v>1823</v>
      </c>
      <c r="K17" s="1" t="s">
        <v>1780</v>
      </c>
      <c r="L17" s="1" t="s">
        <v>1825</v>
      </c>
      <c r="M17" s="1" t="s">
        <v>1824</v>
      </c>
      <c r="O17" s="1" t="s">
        <v>101</v>
      </c>
      <c r="P17" s="1" t="s">
        <v>10</v>
      </c>
      <c r="Q17" s="1" t="s">
        <v>724</v>
      </c>
      <c r="S17" s="1" t="s">
        <v>1905</v>
      </c>
    </row>
    <row r="18" spans="1:19" ht="12.75" x14ac:dyDescent="0.2">
      <c r="A18" s="1" t="s">
        <v>308</v>
      </c>
      <c r="B18" s="1" t="s">
        <v>308</v>
      </c>
      <c r="C18" s="1">
        <v>1</v>
      </c>
      <c r="D18" s="1">
        <v>1</v>
      </c>
      <c r="E18" s="1" t="s">
        <v>1943</v>
      </c>
      <c r="F18" s="1" t="s">
        <v>2129</v>
      </c>
      <c r="G18" s="1" t="s">
        <v>2129</v>
      </c>
      <c r="H18" s="1" t="str">
        <f t="shared" si="0"/>
        <v>ei_bsco_m_BS-UE-NY</v>
      </c>
      <c r="I18" s="1" t="s">
        <v>1823</v>
      </c>
      <c r="K18" s="1" t="s">
        <v>1780</v>
      </c>
      <c r="L18" s="1" t="s">
        <v>1822</v>
      </c>
      <c r="M18" s="1" t="s">
        <v>1821</v>
      </c>
      <c r="O18" s="1" t="s">
        <v>101</v>
      </c>
      <c r="P18" s="1" t="s">
        <v>10</v>
      </c>
      <c r="Q18" s="1" t="s">
        <v>724</v>
      </c>
      <c r="S18" s="1" t="s">
        <v>1905</v>
      </c>
    </row>
    <row r="19" spans="1:19" ht="12.75" x14ac:dyDescent="0.2">
      <c r="A19" s="1" t="s">
        <v>308</v>
      </c>
      <c r="B19" s="1" t="s">
        <v>308</v>
      </c>
      <c r="C19" s="1">
        <v>1</v>
      </c>
      <c r="D19" s="1">
        <v>1</v>
      </c>
      <c r="E19" s="1" t="s">
        <v>1943</v>
      </c>
      <c r="F19" s="1" t="s">
        <v>2130</v>
      </c>
      <c r="G19" s="1" t="s">
        <v>2130</v>
      </c>
      <c r="H19" s="1" t="str">
        <f t="shared" si="0"/>
        <v>ei_bsin_m_r2_BS-ICI</v>
      </c>
      <c r="I19" s="1" t="s">
        <v>1811</v>
      </c>
      <c r="K19" s="1" t="s">
        <v>1780</v>
      </c>
      <c r="L19" s="1" t="s">
        <v>1820</v>
      </c>
      <c r="M19" s="1" t="s">
        <v>1819</v>
      </c>
      <c r="O19" s="1" t="s">
        <v>101</v>
      </c>
      <c r="P19" s="1" t="s">
        <v>10</v>
      </c>
      <c r="Q19" s="1" t="s">
        <v>724</v>
      </c>
      <c r="S19" s="1" t="s">
        <v>1905</v>
      </c>
    </row>
    <row r="20" spans="1:19" ht="12.75" x14ac:dyDescent="0.2">
      <c r="A20" s="1" t="s">
        <v>308</v>
      </c>
      <c r="B20" s="1" t="s">
        <v>308</v>
      </c>
      <c r="C20" s="1">
        <v>1</v>
      </c>
      <c r="D20" s="1">
        <v>1</v>
      </c>
      <c r="E20" s="1" t="s">
        <v>1943</v>
      </c>
      <c r="F20" s="1" t="s">
        <v>2130</v>
      </c>
      <c r="G20" s="1" t="s">
        <v>2130</v>
      </c>
      <c r="H20" s="1" t="str">
        <f t="shared" si="0"/>
        <v>ei_bsin_m_r2_BS-IEME</v>
      </c>
      <c r="I20" s="1" t="s">
        <v>1811</v>
      </c>
      <c r="K20" s="1" t="s">
        <v>1780</v>
      </c>
      <c r="L20" s="1" t="s">
        <v>1818</v>
      </c>
      <c r="M20" s="1" t="s">
        <v>1801</v>
      </c>
      <c r="O20" s="1" t="s">
        <v>101</v>
      </c>
      <c r="P20" s="1" t="s">
        <v>10</v>
      </c>
      <c r="Q20" s="1" t="s">
        <v>724</v>
      </c>
      <c r="S20" s="1" t="s">
        <v>1905</v>
      </c>
    </row>
    <row r="21" spans="1:19" ht="12.75" x14ac:dyDescent="0.2">
      <c r="A21" s="1" t="s">
        <v>308</v>
      </c>
      <c r="B21" s="1" t="s">
        <v>308</v>
      </c>
      <c r="C21" s="1">
        <v>1</v>
      </c>
      <c r="D21" s="1">
        <v>1</v>
      </c>
      <c r="E21" s="1" t="s">
        <v>1943</v>
      </c>
      <c r="F21" s="1" t="s">
        <v>2130</v>
      </c>
      <c r="G21" s="1" t="s">
        <v>2130</v>
      </c>
      <c r="H21" s="1" t="str">
        <f t="shared" si="0"/>
        <v>ei_bsin_m_r2_BS-IEOB</v>
      </c>
      <c r="I21" s="1" t="s">
        <v>1811</v>
      </c>
      <c r="K21" s="1" t="s">
        <v>1780</v>
      </c>
      <c r="L21" s="1" t="s">
        <v>1817</v>
      </c>
      <c r="M21" s="1" t="s">
        <v>1816</v>
      </c>
      <c r="O21" s="1" t="s">
        <v>101</v>
      </c>
      <c r="P21" s="1" t="s">
        <v>10</v>
      </c>
      <c r="Q21" s="1" t="s">
        <v>724</v>
      </c>
      <c r="S21" s="1" t="s">
        <v>1905</v>
      </c>
    </row>
    <row r="22" spans="1:19" ht="12.75" x14ac:dyDescent="0.2">
      <c r="A22" s="1" t="s">
        <v>308</v>
      </c>
      <c r="B22" s="1" t="s">
        <v>308</v>
      </c>
      <c r="C22" s="1">
        <v>1</v>
      </c>
      <c r="D22" s="1">
        <v>1</v>
      </c>
      <c r="E22" s="1" t="s">
        <v>1943</v>
      </c>
      <c r="F22" s="1" t="s">
        <v>2130</v>
      </c>
      <c r="G22" s="1" t="s">
        <v>2130</v>
      </c>
      <c r="H22" s="1" t="str">
        <f t="shared" si="0"/>
        <v>ei_bsin_m_r2_BS-IOB</v>
      </c>
      <c r="I22" s="1" t="s">
        <v>1811</v>
      </c>
      <c r="K22" s="1" t="s">
        <v>1780</v>
      </c>
      <c r="L22" s="1" t="s">
        <v>1815</v>
      </c>
      <c r="M22" s="1" t="s">
        <v>1814</v>
      </c>
      <c r="O22" s="1" t="s">
        <v>101</v>
      </c>
      <c r="P22" s="1" t="s">
        <v>10</v>
      </c>
      <c r="Q22" s="1" t="s">
        <v>724</v>
      </c>
      <c r="S22" s="1" t="s">
        <v>1905</v>
      </c>
    </row>
    <row r="23" spans="1:19" ht="12.75" x14ac:dyDescent="0.2">
      <c r="A23" s="1" t="s">
        <v>308</v>
      </c>
      <c r="B23" s="1" t="s">
        <v>308</v>
      </c>
      <c r="C23" s="1">
        <v>1</v>
      </c>
      <c r="D23" s="1">
        <v>1</v>
      </c>
      <c r="E23" s="1" t="s">
        <v>1943</v>
      </c>
      <c r="F23" s="1" t="s">
        <v>2130</v>
      </c>
      <c r="G23" s="1" t="s">
        <v>2130</v>
      </c>
      <c r="H23" s="1" t="str">
        <f t="shared" si="0"/>
        <v>ei_bsin_m_r2_BS-IPT</v>
      </c>
      <c r="I23" s="1" t="s">
        <v>1811</v>
      </c>
      <c r="K23" s="1" t="s">
        <v>1780</v>
      </c>
      <c r="L23" s="1" t="s">
        <v>1813</v>
      </c>
      <c r="M23" s="1" t="s">
        <v>1812</v>
      </c>
      <c r="O23" s="1" t="s">
        <v>101</v>
      </c>
      <c r="P23" s="1" t="s">
        <v>10</v>
      </c>
      <c r="Q23" s="1" t="s">
        <v>724</v>
      </c>
      <c r="S23" s="1" t="s">
        <v>1905</v>
      </c>
    </row>
    <row r="24" spans="1:19" ht="12.75" x14ac:dyDescent="0.2">
      <c r="A24" s="1" t="s">
        <v>308</v>
      </c>
      <c r="B24" s="1" t="s">
        <v>308</v>
      </c>
      <c r="C24" s="1">
        <v>1</v>
      </c>
      <c r="D24" s="1">
        <v>1</v>
      </c>
      <c r="E24" s="1" t="s">
        <v>1943</v>
      </c>
      <c r="F24" s="1" t="s">
        <v>2130</v>
      </c>
      <c r="G24" s="1" t="s">
        <v>2130</v>
      </c>
      <c r="H24" s="1" t="str">
        <f t="shared" si="0"/>
        <v>ei_bsin_m_r2_BS-ISFP</v>
      </c>
      <c r="I24" s="1" t="s">
        <v>1811</v>
      </c>
      <c r="K24" s="1" t="s">
        <v>1780</v>
      </c>
      <c r="L24" s="1" t="s">
        <v>1810</v>
      </c>
      <c r="M24" s="1" t="s">
        <v>1809</v>
      </c>
      <c r="O24" s="1" t="s">
        <v>101</v>
      </c>
      <c r="P24" s="1" t="s">
        <v>10</v>
      </c>
      <c r="Q24" s="1" t="s">
        <v>724</v>
      </c>
      <c r="S24" s="1" t="s">
        <v>1905</v>
      </c>
    </row>
    <row r="25" spans="1:19" ht="12.75" x14ac:dyDescent="0.2">
      <c r="A25" s="1" t="s">
        <v>308</v>
      </c>
      <c r="B25" s="1" t="s">
        <v>308</v>
      </c>
      <c r="C25" s="1">
        <v>1</v>
      </c>
      <c r="D25" s="1">
        <v>1</v>
      </c>
      <c r="E25" s="1" t="s">
        <v>1943</v>
      </c>
      <c r="F25" s="1" t="s">
        <v>1796</v>
      </c>
      <c r="G25" s="1" t="s">
        <v>2132</v>
      </c>
      <c r="H25" s="1" t="str">
        <f t="shared" si="0"/>
        <v>ei_bsrt_m_r2_BS-RAS</v>
      </c>
      <c r="I25" s="1" t="s">
        <v>1795</v>
      </c>
      <c r="K25" s="1" t="s">
        <v>1780</v>
      </c>
      <c r="L25" s="1" t="s">
        <v>1808</v>
      </c>
      <c r="M25" s="1" t="s">
        <v>1807</v>
      </c>
      <c r="O25" s="1" t="s">
        <v>101</v>
      </c>
      <c r="P25" s="1" t="s">
        <v>10</v>
      </c>
      <c r="Q25" s="1" t="s">
        <v>724</v>
      </c>
      <c r="S25" s="1" t="s">
        <v>1905</v>
      </c>
    </row>
    <row r="26" spans="1:19" ht="12.75" x14ac:dyDescent="0.2">
      <c r="A26" s="1" t="s">
        <v>308</v>
      </c>
      <c r="B26" s="1" t="s">
        <v>308</v>
      </c>
      <c r="C26" s="1">
        <v>1</v>
      </c>
      <c r="D26" s="1">
        <v>1</v>
      </c>
      <c r="E26" s="1" t="s">
        <v>1943</v>
      </c>
      <c r="F26" s="1" t="s">
        <v>1796</v>
      </c>
      <c r="G26" s="1" t="s">
        <v>2132</v>
      </c>
      <c r="H26" s="1" t="str">
        <f t="shared" si="0"/>
        <v>ei_bsrt_m_r2_BS-RCI</v>
      </c>
      <c r="I26" s="1" t="s">
        <v>1795</v>
      </c>
      <c r="K26" s="1" t="s">
        <v>1780</v>
      </c>
      <c r="L26" s="1" t="s">
        <v>1806</v>
      </c>
      <c r="M26" s="1" t="s">
        <v>1805</v>
      </c>
      <c r="O26" s="1" t="s">
        <v>101</v>
      </c>
      <c r="P26" s="1" t="s">
        <v>10</v>
      </c>
      <c r="Q26" s="1" t="s">
        <v>724</v>
      </c>
      <c r="S26" s="1" t="s">
        <v>1905</v>
      </c>
    </row>
    <row r="27" spans="1:19" ht="12.75" x14ac:dyDescent="0.2">
      <c r="A27" s="1" t="s">
        <v>308</v>
      </c>
      <c r="B27" s="1" t="s">
        <v>308</v>
      </c>
      <c r="C27" s="1">
        <v>1</v>
      </c>
      <c r="D27" s="1">
        <v>1</v>
      </c>
      <c r="E27" s="1" t="s">
        <v>1943</v>
      </c>
      <c r="F27" s="1" t="s">
        <v>1796</v>
      </c>
      <c r="G27" s="1" t="s">
        <v>2132</v>
      </c>
      <c r="H27" s="1" t="str">
        <f t="shared" si="0"/>
        <v>ei_bsrt_m_r2_BS-REBS</v>
      </c>
      <c r="I27" s="1" t="s">
        <v>1795</v>
      </c>
      <c r="K27" s="1" t="s">
        <v>1780</v>
      </c>
      <c r="L27" s="1" t="s">
        <v>1804</v>
      </c>
      <c r="M27" s="1" t="s">
        <v>1803</v>
      </c>
      <c r="O27" s="1" t="s">
        <v>101</v>
      </c>
      <c r="P27" s="1" t="s">
        <v>10</v>
      </c>
      <c r="Q27" s="1" t="s">
        <v>724</v>
      </c>
      <c r="S27" s="1" t="s">
        <v>1905</v>
      </c>
    </row>
    <row r="28" spans="1:19" ht="12.75" x14ac:dyDescent="0.2">
      <c r="A28" s="1" t="s">
        <v>308</v>
      </c>
      <c r="B28" s="1" t="s">
        <v>308</v>
      </c>
      <c r="C28" s="1">
        <v>1</v>
      </c>
      <c r="D28" s="1">
        <v>1</v>
      </c>
      <c r="E28" s="1" t="s">
        <v>1943</v>
      </c>
      <c r="F28" s="1" t="s">
        <v>1796</v>
      </c>
      <c r="G28" s="1" t="s">
        <v>2132</v>
      </c>
      <c r="H28" s="1" t="str">
        <f t="shared" si="0"/>
        <v>ei_bsrt_m_r2_BS-REM</v>
      </c>
      <c r="I28" s="1" t="s">
        <v>1795</v>
      </c>
      <c r="K28" s="1" t="s">
        <v>1780</v>
      </c>
      <c r="L28" s="1" t="s">
        <v>1802</v>
      </c>
      <c r="M28" s="1" t="s">
        <v>1801</v>
      </c>
      <c r="O28" s="1" t="s">
        <v>101</v>
      </c>
      <c r="P28" s="1" t="s">
        <v>10</v>
      </c>
      <c r="Q28" s="1" t="s">
        <v>724</v>
      </c>
      <c r="S28" s="1" t="s">
        <v>1905</v>
      </c>
    </row>
    <row r="29" spans="1:19" ht="12.75" x14ac:dyDescent="0.2">
      <c r="A29" s="1" t="s">
        <v>308</v>
      </c>
      <c r="B29" s="1" t="s">
        <v>308</v>
      </c>
      <c r="C29" s="1">
        <v>1</v>
      </c>
      <c r="D29" s="1">
        <v>1</v>
      </c>
      <c r="E29" s="1" t="s">
        <v>1943</v>
      </c>
      <c r="F29" s="1" t="s">
        <v>1796</v>
      </c>
      <c r="G29" s="1" t="s">
        <v>2132</v>
      </c>
      <c r="H29" s="1" t="str">
        <f t="shared" si="0"/>
        <v>ei_bsrt_m_r2_BS-ROP</v>
      </c>
      <c r="I29" s="1" t="s">
        <v>1795</v>
      </c>
      <c r="K29" s="1" t="s">
        <v>1780</v>
      </c>
      <c r="L29" s="1" t="s">
        <v>1800</v>
      </c>
      <c r="M29" s="1" t="s">
        <v>1799</v>
      </c>
      <c r="O29" s="1" t="s">
        <v>101</v>
      </c>
      <c r="P29" s="1" t="s">
        <v>10</v>
      </c>
      <c r="Q29" s="1" t="s">
        <v>724</v>
      </c>
      <c r="S29" s="1" t="s">
        <v>1905</v>
      </c>
    </row>
    <row r="30" spans="1:19" ht="12.75" x14ac:dyDescent="0.2">
      <c r="A30" s="1" t="s">
        <v>308</v>
      </c>
      <c r="B30" s="1" t="s">
        <v>308</v>
      </c>
      <c r="C30" s="1">
        <v>1</v>
      </c>
      <c r="D30" s="1">
        <v>1</v>
      </c>
      <c r="E30" s="1" t="s">
        <v>1943</v>
      </c>
      <c r="F30" s="1" t="s">
        <v>1796</v>
      </c>
      <c r="G30" s="1" t="s">
        <v>2132</v>
      </c>
      <c r="H30" s="1" t="str">
        <f t="shared" si="0"/>
        <v>ei_bsrt_m_r2_BS-RPBS</v>
      </c>
      <c r="I30" s="1" t="s">
        <v>1795</v>
      </c>
      <c r="K30" s="1" t="s">
        <v>1780</v>
      </c>
      <c r="L30" s="1" t="s">
        <v>1798</v>
      </c>
      <c r="M30" s="1" t="s">
        <v>1797</v>
      </c>
      <c r="O30" s="1" t="s">
        <v>101</v>
      </c>
      <c r="P30" s="1" t="s">
        <v>10</v>
      </c>
      <c r="Q30" s="1" t="s">
        <v>724</v>
      </c>
      <c r="S30" s="1" t="s">
        <v>1905</v>
      </c>
    </row>
    <row r="31" spans="1:19" ht="12.75" x14ac:dyDescent="0.2">
      <c r="A31" s="1" t="s">
        <v>308</v>
      </c>
      <c r="B31" s="1" t="s">
        <v>308</v>
      </c>
      <c r="C31" s="1">
        <v>1</v>
      </c>
      <c r="D31" s="1">
        <v>1</v>
      </c>
      <c r="E31" s="1" t="s">
        <v>1943</v>
      </c>
      <c r="F31" s="1" t="s">
        <v>1796</v>
      </c>
      <c r="G31" s="1" t="s">
        <v>2137</v>
      </c>
      <c r="H31" s="1" t="str">
        <f t="shared" si="0"/>
        <v>ei_bsrt_m_r2_BS-RPE</v>
      </c>
      <c r="I31" s="1" t="s">
        <v>1795</v>
      </c>
      <c r="K31" s="1" t="s">
        <v>1780</v>
      </c>
      <c r="L31" s="1" t="s">
        <v>1794</v>
      </c>
      <c r="M31" s="1" t="s">
        <v>1793</v>
      </c>
      <c r="O31" s="1" t="s">
        <v>101</v>
      </c>
      <c r="P31" s="1" t="s">
        <v>10</v>
      </c>
      <c r="Q31" s="1" t="s">
        <v>724</v>
      </c>
      <c r="S31" s="1" t="s">
        <v>1905</v>
      </c>
    </row>
    <row r="32" spans="1:19" ht="12.75" x14ac:dyDescent="0.2">
      <c r="A32" s="1" t="s">
        <v>308</v>
      </c>
      <c r="B32" s="1" t="s">
        <v>308</v>
      </c>
      <c r="C32" s="1">
        <v>1</v>
      </c>
      <c r="D32" s="1">
        <v>1</v>
      </c>
      <c r="E32" s="1" t="s">
        <v>1943</v>
      </c>
      <c r="F32" s="1" t="s">
        <v>2131</v>
      </c>
      <c r="G32" s="1" t="s">
        <v>2136</v>
      </c>
      <c r="H32" s="1" t="str">
        <f t="shared" si="0"/>
        <v>ei_bsse_m_r2_BS-SABC</v>
      </c>
      <c r="I32" s="1" t="s">
        <v>1784</v>
      </c>
      <c r="K32" s="1" t="s">
        <v>1780</v>
      </c>
      <c r="L32" s="1" t="s">
        <v>1792</v>
      </c>
      <c r="M32" s="1" t="s">
        <v>1791</v>
      </c>
      <c r="O32" s="1" t="s">
        <v>101</v>
      </c>
      <c r="P32" s="1" t="s">
        <v>10</v>
      </c>
      <c r="Q32" s="1" t="s">
        <v>724</v>
      </c>
      <c r="S32" s="1" t="s">
        <v>1905</v>
      </c>
    </row>
    <row r="33" spans="1:19" ht="12.75" x14ac:dyDescent="0.2">
      <c r="A33" s="1" t="s">
        <v>308</v>
      </c>
      <c r="B33" s="1" t="s">
        <v>308</v>
      </c>
      <c r="C33" s="1">
        <v>1</v>
      </c>
      <c r="D33" s="1">
        <v>1</v>
      </c>
      <c r="E33" s="1" t="s">
        <v>1943</v>
      </c>
      <c r="F33" s="1" t="s">
        <v>2131</v>
      </c>
      <c r="G33" s="1" t="s">
        <v>2136</v>
      </c>
      <c r="H33" s="1" t="str">
        <f t="shared" si="0"/>
        <v>ei_bsse_m_r2_BS-SAEM</v>
      </c>
      <c r="I33" s="1" t="s">
        <v>1784</v>
      </c>
      <c r="K33" s="1" t="s">
        <v>1780</v>
      </c>
      <c r="L33" s="1" t="s">
        <v>1790</v>
      </c>
      <c r="M33" s="1" t="s">
        <v>1789</v>
      </c>
      <c r="O33" s="1" t="s">
        <v>101</v>
      </c>
      <c r="P33" s="1" t="s">
        <v>10</v>
      </c>
      <c r="Q33" s="1" t="s">
        <v>724</v>
      </c>
      <c r="S33" s="1" t="s">
        <v>1905</v>
      </c>
    </row>
    <row r="34" spans="1:19" ht="12.75" x14ac:dyDescent="0.2">
      <c r="A34" s="1" t="s">
        <v>308</v>
      </c>
      <c r="B34" s="1" t="s">
        <v>308</v>
      </c>
      <c r="C34" s="1">
        <v>1</v>
      </c>
      <c r="D34" s="1">
        <v>1</v>
      </c>
      <c r="E34" s="1" t="s">
        <v>1943</v>
      </c>
      <c r="F34" s="1" t="s">
        <v>2131</v>
      </c>
      <c r="G34" s="1" t="s">
        <v>2136</v>
      </c>
      <c r="H34" s="1" t="str">
        <f t="shared" si="0"/>
        <v>ei_bsse_m_r2_BS-SARM</v>
      </c>
      <c r="I34" s="1" t="s">
        <v>1784</v>
      </c>
      <c r="K34" s="1" t="s">
        <v>1780</v>
      </c>
      <c r="L34" s="1" t="s">
        <v>1788</v>
      </c>
      <c r="M34" s="1" t="s">
        <v>1787</v>
      </c>
      <c r="O34" s="1" t="s">
        <v>101</v>
      </c>
      <c r="P34" s="1" t="s">
        <v>10</v>
      </c>
      <c r="Q34" s="1" t="s">
        <v>724</v>
      </c>
      <c r="S34" s="1" t="s">
        <v>1905</v>
      </c>
    </row>
    <row r="35" spans="1:19" ht="12.75" x14ac:dyDescent="0.2">
      <c r="A35" s="1" t="s">
        <v>308</v>
      </c>
      <c r="B35" s="1" t="s">
        <v>308</v>
      </c>
      <c r="C35" s="1">
        <v>1</v>
      </c>
      <c r="D35" s="1">
        <v>1</v>
      </c>
      <c r="E35" s="1" t="s">
        <v>1943</v>
      </c>
      <c r="F35" s="1" t="s">
        <v>2131</v>
      </c>
      <c r="G35" s="1" t="s">
        <v>2136</v>
      </c>
      <c r="H35" s="1" t="str">
        <f t="shared" si="0"/>
        <v>ei_bsse_m_r2_BS-SCI</v>
      </c>
      <c r="I35" s="1" t="s">
        <v>1784</v>
      </c>
      <c r="K35" s="1" t="s">
        <v>1780</v>
      </c>
      <c r="L35" s="1" t="s">
        <v>1786</v>
      </c>
      <c r="M35" s="1" t="s">
        <v>1785</v>
      </c>
      <c r="O35" s="1" t="s">
        <v>101</v>
      </c>
      <c r="P35" s="1" t="s">
        <v>10</v>
      </c>
      <c r="Q35" s="1" t="s">
        <v>724</v>
      </c>
      <c r="S35" s="1" t="s">
        <v>1905</v>
      </c>
    </row>
    <row r="36" spans="1:19" ht="12.75" x14ac:dyDescent="0.2">
      <c r="A36" s="1" t="s">
        <v>308</v>
      </c>
      <c r="B36" s="1" t="s">
        <v>308</v>
      </c>
      <c r="C36" s="1">
        <v>1</v>
      </c>
      <c r="D36" s="1">
        <v>1</v>
      </c>
      <c r="E36" s="1" t="s">
        <v>1943</v>
      </c>
      <c r="F36" s="1" t="s">
        <v>2131</v>
      </c>
      <c r="G36" s="1" t="s">
        <v>2136</v>
      </c>
      <c r="H36" s="1" t="str">
        <f t="shared" si="0"/>
        <v>ei_bsse_m_r2_BS-SEEM</v>
      </c>
      <c r="I36" s="1" t="s">
        <v>1784</v>
      </c>
      <c r="K36" s="1" t="s">
        <v>1780</v>
      </c>
      <c r="L36" s="1" t="s">
        <v>1783</v>
      </c>
      <c r="M36" s="1" t="s">
        <v>1782</v>
      </c>
      <c r="O36" s="1" t="s">
        <v>101</v>
      </c>
      <c r="P36" s="1" t="s">
        <v>10</v>
      </c>
      <c r="Q36" s="1" t="s">
        <v>724</v>
      </c>
      <c r="S36" s="1" t="s">
        <v>1905</v>
      </c>
    </row>
    <row r="37" spans="1:19" ht="12.75" x14ac:dyDescent="0.2">
      <c r="A37" s="1" t="s">
        <v>308</v>
      </c>
      <c r="B37" s="1" t="s">
        <v>308</v>
      </c>
      <c r="C37" s="1">
        <v>1</v>
      </c>
      <c r="D37" s="1">
        <v>2</v>
      </c>
      <c r="E37" s="1" t="s">
        <v>1944</v>
      </c>
      <c r="F37" s="1" t="s">
        <v>719</v>
      </c>
      <c r="G37" s="1" t="s">
        <v>719</v>
      </c>
      <c r="H37" s="1" t="str">
        <f t="shared" si="0"/>
        <v>ei_hppi_q_TOTAL</v>
      </c>
      <c r="I37" s="1" t="s">
        <v>1781</v>
      </c>
      <c r="K37" s="1" t="s">
        <v>1780</v>
      </c>
      <c r="L37" s="1" t="s">
        <v>716</v>
      </c>
      <c r="M37" s="1" t="s">
        <v>719</v>
      </c>
      <c r="N37" s="1" t="s">
        <v>1779</v>
      </c>
      <c r="Q37" s="1" t="s">
        <v>713</v>
      </c>
      <c r="S37" s="1" t="s">
        <v>1905</v>
      </c>
    </row>
    <row r="38" spans="1:19" ht="12.75" x14ac:dyDescent="0.2">
      <c r="A38" s="1" t="s">
        <v>308</v>
      </c>
      <c r="B38" s="1" t="s">
        <v>308</v>
      </c>
      <c r="C38" s="1">
        <v>1</v>
      </c>
      <c r="D38" s="1">
        <v>0</v>
      </c>
      <c r="E38" s="1" t="s">
        <v>1945</v>
      </c>
      <c r="F38" s="1" t="s">
        <v>1760</v>
      </c>
      <c r="G38" s="1" t="s">
        <v>2135</v>
      </c>
      <c r="H38" s="1" t="str">
        <f t="shared" si="0"/>
        <v>namq_10_an6_N111G</v>
      </c>
      <c r="I38" s="1" t="s">
        <v>1759</v>
      </c>
      <c r="K38" s="1" t="s">
        <v>1758</v>
      </c>
      <c r="L38" s="1" t="s">
        <v>1778</v>
      </c>
      <c r="M38" s="1" t="s">
        <v>1777</v>
      </c>
      <c r="N38" s="1" t="s">
        <v>1676</v>
      </c>
      <c r="O38" s="1" t="s">
        <v>101</v>
      </c>
      <c r="P38" s="1" t="s">
        <v>1946</v>
      </c>
      <c r="Q38" s="1" t="s">
        <v>713</v>
      </c>
      <c r="R38" s="1" t="s">
        <v>1675</v>
      </c>
      <c r="S38" s="1" t="s">
        <v>1905</v>
      </c>
    </row>
    <row r="39" spans="1:19" ht="12.75" x14ac:dyDescent="0.2">
      <c r="A39" s="1" t="s">
        <v>308</v>
      </c>
      <c r="B39" s="1" t="s">
        <v>308</v>
      </c>
      <c r="C39" s="1">
        <v>1</v>
      </c>
      <c r="D39" s="1">
        <v>0</v>
      </c>
      <c r="E39" s="1" t="s">
        <v>1945</v>
      </c>
      <c r="F39" s="1" t="s">
        <v>1760</v>
      </c>
      <c r="G39" s="1" t="s">
        <v>2135</v>
      </c>
      <c r="H39" s="1" t="str">
        <f t="shared" si="0"/>
        <v>namq_10_an6_N112G</v>
      </c>
      <c r="I39" s="1" t="s">
        <v>1759</v>
      </c>
      <c r="K39" s="1" t="s">
        <v>1758</v>
      </c>
      <c r="L39" s="1" t="s">
        <v>1776</v>
      </c>
      <c r="M39" s="1" t="s">
        <v>1775</v>
      </c>
      <c r="N39" s="1" t="s">
        <v>1676</v>
      </c>
      <c r="O39" s="1" t="s">
        <v>101</v>
      </c>
      <c r="P39" s="1" t="s">
        <v>1946</v>
      </c>
      <c r="Q39" s="1" t="s">
        <v>713</v>
      </c>
      <c r="R39" s="1" t="s">
        <v>1675</v>
      </c>
      <c r="S39" s="1" t="s">
        <v>1905</v>
      </c>
    </row>
    <row r="40" spans="1:19" ht="12.75" x14ac:dyDescent="0.2">
      <c r="A40" s="1" t="s">
        <v>308</v>
      </c>
      <c r="B40" s="1" t="s">
        <v>308</v>
      </c>
      <c r="C40" s="1">
        <v>1</v>
      </c>
      <c r="D40" s="1">
        <v>0</v>
      </c>
      <c r="E40" s="1" t="s">
        <v>1945</v>
      </c>
      <c r="F40" s="1" t="s">
        <v>1760</v>
      </c>
      <c r="G40" s="1" t="s">
        <v>2135</v>
      </c>
      <c r="H40" s="1" t="str">
        <f t="shared" si="0"/>
        <v>namq_10_an6_N1131G</v>
      </c>
      <c r="I40" s="1" t="s">
        <v>1759</v>
      </c>
      <c r="K40" s="1" t="s">
        <v>1758</v>
      </c>
      <c r="L40" s="1" t="s">
        <v>1774</v>
      </c>
      <c r="M40" s="1" t="s">
        <v>1773</v>
      </c>
      <c r="N40" s="1" t="s">
        <v>1676</v>
      </c>
      <c r="O40" s="1" t="s">
        <v>101</v>
      </c>
      <c r="P40" s="1" t="s">
        <v>1946</v>
      </c>
      <c r="Q40" s="1" t="s">
        <v>713</v>
      </c>
      <c r="R40" s="1" t="s">
        <v>1675</v>
      </c>
      <c r="S40" s="1" t="s">
        <v>1905</v>
      </c>
    </row>
    <row r="41" spans="1:19" ht="12.75" x14ac:dyDescent="0.2">
      <c r="A41" s="1" t="s">
        <v>308</v>
      </c>
      <c r="B41" s="1" t="s">
        <v>308</v>
      </c>
      <c r="C41" s="1">
        <v>1</v>
      </c>
      <c r="D41" s="1">
        <v>0</v>
      </c>
      <c r="E41" s="1" t="s">
        <v>1945</v>
      </c>
      <c r="F41" s="1" t="s">
        <v>1760</v>
      </c>
      <c r="G41" s="1" t="s">
        <v>2135</v>
      </c>
      <c r="H41" s="1" t="str">
        <f t="shared" si="0"/>
        <v>namq_10_an6_N1132G</v>
      </c>
      <c r="I41" s="1" t="s">
        <v>1759</v>
      </c>
      <c r="K41" s="1" t="s">
        <v>1758</v>
      </c>
      <c r="L41" s="1" t="s">
        <v>1772</v>
      </c>
      <c r="M41" s="1" t="s">
        <v>1771</v>
      </c>
      <c r="N41" s="1" t="s">
        <v>1676</v>
      </c>
      <c r="O41" s="1" t="s">
        <v>101</v>
      </c>
      <c r="P41" s="1" t="s">
        <v>1946</v>
      </c>
      <c r="Q41" s="1" t="s">
        <v>713</v>
      </c>
      <c r="R41" s="1" t="s">
        <v>1675</v>
      </c>
      <c r="S41" s="1" t="s">
        <v>1905</v>
      </c>
    </row>
    <row r="42" spans="1:19" ht="12.75" x14ac:dyDescent="0.2">
      <c r="A42" s="1" t="s">
        <v>308</v>
      </c>
      <c r="B42" s="1" t="s">
        <v>308</v>
      </c>
      <c r="C42" s="1">
        <v>1</v>
      </c>
      <c r="D42" s="1">
        <v>0</v>
      </c>
      <c r="E42" s="1" t="s">
        <v>1945</v>
      </c>
      <c r="F42" s="1" t="s">
        <v>1760</v>
      </c>
      <c r="G42" s="1" t="s">
        <v>2135</v>
      </c>
      <c r="H42" s="1" t="str">
        <f t="shared" si="0"/>
        <v>namq_10_an6_N115G</v>
      </c>
      <c r="I42" s="1" t="s">
        <v>1759</v>
      </c>
      <c r="K42" s="1" t="s">
        <v>1758</v>
      </c>
      <c r="L42" s="1" t="s">
        <v>1770</v>
      </c>
      <c r="M42" s="1" t="s">
        <v>1769</v>
      </c>
      <c r="N42" s="1" t="s">
        <v>1676</v>
      </c>
      <c r="O42" s="1" t="s">
        <v>101</v>
      </c>
      <c r="P42" s="1" t="s">
        <v>1946</v>
      </c>
      <c r="Q42" s="1" t="s">
        <v>713</v>
      </c>
      <c r="R42" s="1" t="s">
        <v>1675</v>
      </c>
      <c r="S42" s="1" t="s">
        <v>1905</v>
      </c>
    </row>
    <row r="43" spans="1:19" ht="12.75" x14ac:dyDescent="0.2">
      <c r="A43" s="1" t="s">
        <v>308</v>
      </c>
      <c r="B43" s="1" t="s">
        <v>308</v>
      </c>
      <c r="C43" s="1">
        <v>1</v>
      </c>
      <c r="D43" s="1">
        <v>0</v>
      </c>
      <c r="E43" s="1" t="s">
        <v>1945</v>
      </c>
      <c r="F43" s="1" t="s">
        <v>1760</v>
      </c>
      <c r="G43" s="1" t="s">
        <v>2135</v>
      </c>
      <c r="H43" s="1" t="str">
        <f t="shared" si="0"/>
        <v>namq_10_an6_N117G</v>
      </c>
      <c r="I43" s="1" t="s">
        <v>1759</v>
      </c>
      <c r="K43" s="1" t="s">
        <v>1758</v>
      </c>
      <c r="L43" s="1" t="s">
        <v>1768</v>
      </c>
      <c r="M43" s="1" t="s">
        <v>1767</v>
      </c>
      <c r="N43" s="1" t="s">
        <v>1676</v>
      </c>
      <c r="O43" s="1" t="s">
        <v>101</v>
      </c>
      <c r="P43" s="1" t="s">
        <v>1946</v>
      </c>
      <c r="Q43" s="1" t="s">
        <v>713</v>
      </c>
      <c r="R43" s="1" t="s">
        <v>1675</v>
      </c>
      <c r="S43" s="1" t="s">
        <v>1905</v>
      </c>
    </row>
    <row r="44" spans="1:19" ht="12.75" x14ac:dyDescent="0.2">
      <c r="A44" s="1" t="s">
        <v>308</v>
      </c>
      <c r="B44" s="1" t="s">
        <v>308</v>
      </c>
      <c r="C44" s="1">
        <v>1</v>
      </c>
      <c r="D44" s="1">
        <v>0</v>
      </c>
      <c r="E44" s="1" t="s">
        <v>1945</v>
      </c>
      <c r="F44" s="1" t="s">
        <v>1760</v>
      </c>
      <c r="G44" s="1" t="s">
        <v>2135</v>
      </c>
      <c r="H44" s="1" t="str">
        <f t="shared" si="0"/>
        <v>namq_10_an6_N11G</v>
      </c>
      <c r="I44" s="1" t="s">
        <v>1759</v>
      </c>
      <c r="K44" s="1" t="s">
        <v>1758</v>
      </c>
      <c r="L44" s="1" t="s">
        <v>1766</v>
      </c>
      <c r="M44" s="1" t="s">
        <v>1765</v>
      </c>
      <c r="N44" s="1" t="s">
        <v>1676</v>
      </c>
      <c r="O44" s="1" t="s">
        <v>101</v>
      </c>
      <c r="P44" s="1" t="s">
        <v>1946</v>
      </c>
      <c r="Q44" s="1" t="s">
        <v>713</v>
      </c>
      <c r="R44" s="1" t="s">
        <v>1675</v>
      </c>
      <c r="S44" s="1" t="s">
        <v>1905</v>
      </c>
    </row>
    <row r="45" spans="1:19" ht="12.75" x14ac:dyDescent="0.2">
      <c r="A45" s="1" t="s">
        <v>308</v>
      </c>
      <c r="B45" s="1" t="s">
        <v>308</v>
      </c>
      <c r="C45" s="1">
        <v>1</v>
      </c>
      <c r="D45" s="1">
        <v>0</v>
      </c>
      <c r="E45" s="1" t="s">
        <v>1945</v>
      </c>
      <c r="F45" s="1" t="s">
        <v>1760</v>
      </c>
      <c r="G45" s="1" t="s">
        <v>2135</v>
      </c>
      <c r="H45" s="1" t="str">
        <f t="shared" si="0"/>
        <v>namq_10_an6_N11KG</v>
      </c>
      <c r="I45" s="1" t="s">
        <v>1759</v>
      </c>
      <c r="K45" s="1" t="s">
        <v>1758</v>
      </c>
      <c r="L45" s="1" t="s">
        <v>1764</v>
      </c>
      <c r="M45" s="1" t="s">
        <v>1763</v>
      </c>
      <c r="N45" s="1" t="s">
        <v>1676</v>
      </c>
      <c r="O45" s="1" t="s">
        <v>101</v>
      </c>
      <c r="P45" s="1" t="s">
        <v>1946</v>
      </c>
      <c r="Q45" s="1" t="s">
        <v>713</v>
      </c>
      <c r="R45" s="1" t="s">
        <v>1675</v>
      </c>
      <c r="S45" s="1" t="s">
        <v>1905</v>
      </c>
    </row>
    <row r="46" spans="1:19" ht="12.75" x14ac:dyDescent="0.2">
      <c r="A46" s="1" t="s">
        <v>308</v>
      </c>
      <c r="B46" s="1" t="s">
        <v>308</v>
      </c>
      <c r="C46" s="1">
        <v>1</v>
      </c>
      <c r="D46" s="1">
        <v>0</v>
      </c>
      <c r="E46" s="1" t="s">
        <v>1945</v>
      </c>
      <c r="F46" s="1" t="s">
        <v>1760</v>
      </c>
      <c r="G46" s="1" t="s">
        <v>2135</v>
      </c>
      <c r="H46" s="1" t="str">
        <f t="shared" si="0"/>
        <v>namq_10_an6_N11MG</v>
      </c>
      <c r="I46" s="1" t="s">
        <v>1759</v>
      </c>
      <c r="K46" s="1" t="s">
        <v>1758</v>
      </c>
      <c r="L46" s="1" t="s">
        <v>1762</v>
      </c>
      <c r="M46" s="1" t="s">
        <v>1761</v>
      </c>
      <c r="N46" s="1" t="s">
        <v>1676</v>
      </c>
      <c r="O46" s="1" t="s">
        <v>101</v>
      </c>
      <c r="P46" s="1" t="s">
        <v>1946</v>
      </c>
      <c r="Q46" s="1" t="s">
        <v>713</v>
      </c>
      <c r="R46" s="1" t="s">
        <v>1675</v>
      </c>
      <c r="S46" s="1" t="s">
        <v>1905</v>
      </c>
    </row>
    <row r="47" spans="1:19" ht="12.75" x14ac:dyDescent="0.2">
      <c r="A47" s="1" t="s">
        <v>308</v>
      </c>
      <c r="B47" s="1" t="s">
        <v>308</v>
      </c>
      <c r="C47" s="1">
        <v>1</v>
      </c>
      <c r="D47" s="1">
        <v>0</v>
      </c>
      <c r="E47" s="1" t="s">
        <v>1945</v>
      </c>
      <c r="F47" s="1" t="s">
        <v>1760</v>
      </c>
      <c r="G47" s="1" t="s">
        <v>2135</v>
      </c>
      <c r="H47" s="1" t="str">
        <f t="shared" si="0"/>
        <v>namq_10_an6_N11OG</v>
      </c>
      <c r="I47" s="1" t="s">
        <v>1759</v>
      </c>
      <c r="K47" s="1" t="s">
        <v>1758</v>
      </c>
      <c r="L47" s="1" t="s">
        <v>1757</v>
      </c>
      <c r="M47" s="1" t="s">
        <v>1756</v>
      </c>
      <c r="N47" s="1" t="s">
        <v>1676</v>
      </c>
      <c r="O47" s="1" t="s">
        <v>101</v>
      </c>
      <c r="P47" s="1" t="s">
        <v>1946</v>
      </c>
      <c r="Q47" s="1" t="s">
        <v>713</v>
      </c>
      <c r="R47" s="1" t="s">
        <v>1675</v>
      </c>
      <c r="S47" s="1" t="s">
        <v>1905</v>
      </c>
    </row>
    <row r="48" spans="1:19" ht="12.75" x14ac:dyDescent="0.2">
      <c r="A48" s="1" t="s">
        <v>308</v>
      </c>
      <c r="B48" s="1" t="s">
        <v>308</v>
      </c>
      <c r="C48" s="1">
        <v>1</v>
      </c>
      <c r="D48" s="1">
        <v>0</v>
      </c>
      <c r="E48" s="1" t="s">
        <v>1945</v>
      </c>
      <c r="F48" s="1" t="s">
        <v>2133</v>
      </c>
      <c r="G48" s="1" t="s">
        <v>1945</v>
      </c>
      <c r="H48" s="1" t="str">
        <f t="shared" si="0"/>
        <v>namq_10_gdp_B11</v>
      </c>
      <c r="I48" s="1" t="s">
        <v>1679</v>
      </c>
      <c r="K48" s="1" t="s">
        <v>1666</v>
      </c>
      <c r="L48" s="1" t="s">
        <v>1755</v>
      </c>
      <c r="M48" s="1" t="s">
        <v>1754</v>
      </c>
      <c r="N48" s="1" t="s">
        <v>1676</v>
      </c>
      <c r="O48" s="1" t="s">
        <v>101</v>
      </c>
      <c r="P48" s="1" t="s">
        <v>1946</v>
      </c>
      <c r="Q48" s="1" t="s">
        <v>713</v>
      </c>
      <c r="R48" s="1" t="s">
        <v>1675</v>
      </c>
      <c r="S48" s="1" t="s">
        <v>1905</v>
      </c>
    </row>
    <row r="49" spans="1:19" ht="12.75" x14ac:dyDescent="0.2">
      <c r="A49" s="1" t="s">
        <v>308</v>
      </c>
      <c r="B49" s="1" t="s">
        <v>308</v>
      </c>
      <c r="C49" s="1">
        <v>1</v>
      </c>
      <c r="D49" s="1">
        <v>0</v>
      </c>
      <c r="E49" s="1" t="s">
        <v>1945</v>
      </c>
      <c r="F49" s="1" t="s">
        <v>2133</v>
      </c>
      <c r="G49" s="1" t="s">
        <v>1945</v>
      </c>
      <c r="H49" s="1" t="str">
        <f t="shared" si="0"/>
        <v>namq_10_gdp_B111</v>
      </c>
      <c r="I49" s="1" t="s">
        <v>1679</v>
      </c>
      <c r="K49" s="1" t="s">
        <v>1666</v>
      </c>
      <c r="L49" s="1" t="s">
        <v>1753</v>
      </c>
      <c r="M49" s="1" t="s">
        <v>1752</v>
      </c>
      <c r="N49" s="1" t="s">
        <v>1676</v>
      </c>
      <c r="O49" s="1" t="s">
        <v>101</v>
      </c>
      <c r="P49" s="1" t="s">
        <v>1946</v>
      </c>
      <c r="Q49" s="1" t="s">
        <v>713</v>
      </c>
      <c r="R49" s="1" t="s">
        <v>1675</v>
      </c>
      <c r="S49" s="1" t="s">
        <v>1905</v>
      </c>
    </row>
    <row r="50" spans="1:19" ht="12.75" x14ac:dyDescent="0.2">
      <c r="A50" s="1" t="s">
        <v>308</v>
      </c>
      <c r="B50" s="1" t="s">
        <v>308</v>
      </c>
      <c r="C50" s="1">
        <v>1</v>
      </c>
      <c r="D50" s="1">
        <v>0</v>
      </c>
      <c r="E50" s="1" t="s">
        <v>1945</v>
      </c>
      <c r="F50" s="1" t="s">
        <v>2133</v>
      </c>
      <c r="G50" s="1" t="s">
        <v>1945</v>
      </c>
      <c r="H50" s="1" t="str">
        <f t="shared" si="0"/>
        <v>namq_10_gdp_B112</v>
      </c>
      <c r="I50" s="1" t="s">
        <v>1679</v>
      </c>
      <c r="K50" s="1" t="s">
        <v>1666</v>
      </c>
      <c r="L50" s="1" t="s">
        <v>1751</v>
      </c>
      <c r="M50" s="1" t="s">
        <v>1750</v>
      </c>
      <c r="N50" s="1" t="s">
        <v>1676</v>
      </c>
      <c r="O50" s="1" t="s">
        <v>101</v>
      </c>
      <c r="P50" s="1" t="s">
        <v>1946</v>
      </c>
      <c r="Q50" s="1" t="s">
        <v>713</v>
      </c>
      <c r="R50" s="1" t="s">
        <v>1675</v>
      </c>
      <c r="S50" s="1" t="s">
        <v>1905</v>
      </c>
    </row>
    <row r="51" spans="1:19" ht="12.75" x14ac:dyDescent="0.2">
      <c r="A51" s="1" t="s">
        <v>308</v>
      </c>
      <c r="B51" s="1" t="s">
        <v>308</v>
      </c>
      <c r="C51" s="1">
        <v>1</v>
      </c>
      <c r="D51" s="1">
        <v>0</v>
      </c>
      <c r="E51" s="1" t="s">
        <v>1945</v>
      </c>
      <c r="F51" s="1" t="s">
        <v>2133</v>
      </c>
      <c r="G51" s="1" t="s">
        <v>1945</v>
      </c>
      <c r="H51" s="1" t="str">
        <f t="shared" si="0"/>
        <v>namq_10_gdp_B1G</v>
      </c>
      <c r="I51" s="1" t="s">
        <v>1679</v>
      </c>
      <c r="K51" s="1" t="s">
        <v>1666</v>
      </c>
      <c r="L51" s="1" t="s">
        <v>1749</v>
      </c>
      <c r="M51" s="1" t="s">
        <v>1748</v>
      </c>
      <c r="N51" s="1" t="s">
        <v>1676</v>
      </c>
      <c r="O51" s="1" t="s">
        <v>101</v>
      </c>
      <c r="P51" s="1" t="s">
        <v>1946</v>
      </c>
      <c r="Q51" s="1" t="s">
        <v>713</v>
      </c>
      <c r="R51" s="1" t="s">
        <v>1675</v>
      </c>
      <c r="S51" s="1" t="s">
        <v>1905</v>
      </c>
    </row>
    <row r="52" spans="1:19" ht="12.75" x14ac:dyDescent="0.2">
      <c r="A52" s="1" t="s">
        <v>308</v>
      </c>
      <c r="B52" s="1" t="s">
        <v>308</v>
      </c>
      <c r="C52" s="1">
        <v>1</v>
      </c>
      <c r="D52" s="1">
        <v>0</v>
      </c>
      <c r="E52" s="1" t="s">
        <v>1945</v>
      </c>
      <c r="F52" s="1" t="s">
        <v>2133</v>
      </c>
      <c r="G52" s="1" t="s">
        <v>1945</v>
      </c>
      <c r="H52" s="1" t="str">
        <f t="shared" si="0"/>
        <v>namq_10_gdp_B1GQ</v>
      </c>
      <c r="I52" s="1" t="s">
        <v>1679</v>
      </c>
      <c r="K52" s="1" t="s">
        <v>1666</v>
      </c>
      <c r="L52" s="1" t="s">
        <v>1747</v>
      </c>
      <c r="M52" s="1" t="s">
        <v>1746</v>
      </c>
      <c r="N52" s="1" t="s">
        <v>1676</v>
      </c>
      <c r="O52" s="1" t="s">
        <v>101</v>
      </c>
      <c r="P52" s="1" t="s">
        <v>1946</v>
      </c>
      <c r="Q52" s="1" t="s">
        <v>713</v>
      </c>
      <c r="R52" s="1" t="s">
        <v>1675</v>
      </c>
      <c r="S52" s="1" t="s">
        <v>1905</v>
      </c>
    </row>
    <row r="53" spans="1:19" ht="12.75" x14ac:dyDescent="0.2">
      <c r="A53" s="1" t="s">
        <v>308</v>
      </c>
      <c r="B53" s="1" t="s">
        <v>308</v>
      </c>
      <c r="C53" s="1">
        <v>1</v>
      </c>
      <c r="D53" s="1">
        <v>0</v>
      </c>
      <c r="E53" s="1" t="s">
        <v>1945</v>
      </c>
      <c r="F53" s="1" t="s">
        <v>2133</v>
      </c>
      <c r="G53" s="1" t="s">
        <v>1945</v>
      </c>
      <c r="H53" s="1" t="str">
        <f t="shared" si="0"/>
        <v>namq_10_gdp_B2A3G</v>
      </c>
      <c r="I53" s="1" t="s">
        <v>1679</v>
      </c>
      <c r="K53" s="1" t="s">
        <v>1666</v>
      </c>
      <c r="L53" s="1" t="s">
        <v>1745</v>
      </c>
      <c r="M53" s="1" t="s">
        <v>1744</v>
      </c>
      <c r="N53" s="1" t="s">
        <v>1676</v>
      </c>
      <c r="O53" s="1" t="s">
        <v>101</v>
      </c>
      <c r="P53" s="1" t="s">
        <v>1946</v>
      </c>
      <c r="Q53" s="1" t="s">
        <v>713</v>
      </c>
      <c r="R53" s="1" t="s">
        <v>1675</v>
      </c>
      <c r="S53" s="1" t="s">
        <v>1905</v>
      </c>
    </row>
    <row r="54" spans="1:19" ht="12.75" x14ac:dyDescent="0.2">
      <c r="A54" s="1" t="s">
        <v>308</v>
      </c>
      <c r="B54" s="1" t="s">
        <v>308</v>
      </c>
      <c r="C54" s="1">
        <v>1</v>
      </c>
      <c r="D54" s="1">
        <v>0</v>
      </c>
      <c r="E54" s="1" t="s">
        <v>1945</v>
      </c>
      <c r="F54" s="1" t="s">
        <v>2133</v>
      </c>
      <c r="G54" s="1" t="s">
        <v>1945</v>
      </c>
      <c r="H54" s="1" t="str">
        <f t="shared" si="0"/>
        <v>namq_10_gdp_D1</v>
      </c>
      <c r="I54" s="1" t="s">
        <v>1679</v>
      </c>
      <c r="K54" s="1" t="s">
        <v>1666</v>
      </c>
      <c r="L54" s="1" t="s">
        <v>1743</v>
      </c>
      <c r="M54" s="1" t="s">
        <v>1742</v>
      </c>
      <c r="N54" s="1" t="s">
        <v>1676</v>
      </c>
      <c r="O54" s="1" t="s">
        <v>101</v>
      </c>
      <c r="P54" s="1" t="s">
        <v>1946</v>
      </c>
      <c r="Q54" s="1" t="s">
        <v>713</v>
      </c>
      <c r="R54" s="1" t="s">
        <v>1675</v>
      </c>
      <c r="S54" s="1" t="s">
        <v>1905</v>
      </c>
    </row>
    <row r="55" spans="1:19" ht="12.75" x14ac:dyDescent="0.2">
      <c r="A55" s="1" t="s">
        <v>308</v>
      </c>
      <c r="B55" s="1" t="s">
        <v>308</v>
      </c>
      <c r="C55" s="1">
        <v>1</v>
      </c>
      <c r="D55" s="1">
        <v>0</v>
      </c>
      <c r="E55" s="1" t="s">
        <v>1945</v>
      </c>
      <c r="F55" s="1" t="s">
        <v>2133</v>
      </c>
      <c r="G55" s="1" t="s">
        <v>1945</v>
      </c>
      <c r="H55" s="1" t="str">
        <f t="shared" si="0"/>
        <v>namq_10_gdp_D11</v>
      </c>
      <c r="I55" s="1" t="s">
        <v>1679</v>
      </c>
      <c r="K55" s="1" t="s">
        <v>1666</v>
      </c>
      <c r="L55" s="1" t="s">
        <v>1741</v>
      </c>
      <c r="M55" s="1" t="s">
        <v>1740</v>
      </c>
      <c r="N55" s="1" t="s">
        <v>1676</v>
      </c>
      <c r="O55" s="1" t="s">
        <v>101</v>
      </c>
      <c r="P55" s="1" t="s">
        <v>1946</v>
      </c>
      <c r="Q55" s="1" t="s">
        <v>713</v>
      </c>
      <c r="R55" s="1" t="s">
        <v>1675</v>
      </c>
      <c r="S55" s="1" t="s">
        <v>1905</v>
      </c>
    </row>
    <row r="56" spans="1:19" ht="12.75" x14ac:dyDescent="0.2">
      <c r="A56" s="1" t="s">
        <v>308</v>
      </c>
      <c r="B56" s="1" t="s">
        <v>308</v>
      </c>
      <c r="C56" s="1">
        <v>1</v>
      </c>
      <c r="D56" s="1">
        <v>0</v>
      </c>
      <c r="E56" s="1" t="s">
        <v>1945</v>
      </c>
      <c r="F56" s="1" t="s">
        <v>2133</v>
      </c>
      <c r="G56" s="1" t="s">
        <v>1945</v>
      </c>
      <c r="H56" s="1" t="str">
        <f t="shared" si="0"/>
        <v>namq_10_gdp_D12</v>
      </c>
      <c r="I56" s="1" t="s">
        <v>1679</v>
      </c>
      <c r="K56" s="1" t="s">
        <v>1666</v>
      </c>
      <c r="L56" s="1" t="s">
        <v>1739</v>
      </c>
      <c r="M56" s="1" t="s">
        <v>1738</v>
      </c>
      <c r="N56" s="1" t="s">
        <v>1676</v>
      </c>
      <c r="O56" s="1" t="s">
        <v>101</v>
      </c>
      <c r="P56" s="1" t="s">
        <v>1946</v>
      </c>
      <c r="Q56" s="1" t="s">
        <v>713</v>
      </c>
      <c r="R56" s="1" t="s">
        <v>1675</v>
      </c>
      <c r="S56" s="1" t="s">
        <v>1905</v>
      </c>
    </row>
    <row r="57" spans="1:19" ht="12.75" x14ac:dyDescent="0.2">
      <c r="A57" s="1" t="s">
        <v>308</v>
      </c>
      <c r="B57" s="1" t="s">
        <v>308</v>
      </c>
      <c r="C57" s="1">
        <v>1</v>
      </c>
      <c r="D57" s="1">
        <v>0</v>
      </c>
      <c r="E57" s="1" t="s">
        <v>1945</v>
      </c>
      <c r="F57" s="1" t="s">
        <v>2133</v>
      </c>
      <c r="G57" s="1" t="s">
        <v>1945</v>
      </c>
      <c r="H57" s="1" t="str">
        <f t="shared" si="0"/>
        <v>namq_10_gdp_D2</v>
      </c>
      <c r="I57" s="1" t="s">
        <v>1679</v>
      </c>
      <c r="K57" s="1" t="s">
        <v>1666</v>
      </c>
      <c r="L57" s="1" t="s">
        <v>1737</v>
      </c>
      <c r="M57" s="1" t="s">
        <v>1736</v>
      </c>
      <c r="N57" s="1" t="s">
        <v>1676</v>
      </c>
      <c r="O57" s="1" t="s">
        <v>101</v>
      </c>
      <c r="P57" s="1" t="s">
        <v>1946</v>
      </c>
      <c r="Q57" s="1" t="s">
        <v>713</v>
      </c>
      <c r="R57" s="1" t="s">
        <v>1675</v>
      </c>
      <c r="S57" s="1" t="s">
        <v>1905</v>
      </c>
    </row>
    <row r="58" spans="1:19" ht="12.75" x14ac:dyDescent="0.2">
      <c r="A58" s="1" t="s">
        <v>308</v>
      </c>
      <c r="B58" s="1" t="s">
        <v>308</v>
      </c>
      <c r="C58" s="1">
        <v>1</v>
      </c>
      <c r="D58" s="1">
        <v>0</v>
      </c>
      <c r="E58" s="1" t="s">
        <v>1945</v>
      </c>
      <c r="F58" s="1" t="s">
        <v>2133</v>
      </c>
      <c r="G58" s="1" t="s">
        <v>1945</v>
      </c>
      <c r="H58" s="1" t="str">
        <f t="shared" si="0"/>
        <v>namq_10_gdp_D21</v>
      </c>
      <c r="I58" s="1" t="s">
        <v>1679</v>
      </c>
      <c r="K58" s="1" t="s">
        <v>1666</v>
      </c>
      <c r="L58" s="1" t="s">
        <v>1735</v>
      </c>
      <c r="M58" s="1" t="s">
        <v>1734</v>
      </c>
      <c r="N58" s="1" t="s">
        <v>1676</v>
      </c>
      <c r="O58" s="1" t="s">
        <v>101</v>
      </c>
      <c r="P58" s="1" t="s">
        <v>1946</v>
      </c>
      <c r="Q58" s="1" t="s">
        <v>713</v>
      </c>
      <c r="R58" s="1" t="s">
        <v>1675</v>
      </c>
      <c r="S58" s="1" t="s">
        <v>1905</v>
      </c>
    </row>
    <row r="59" spans="1:19" ht="12.75" x14ac:dyDescent="0.2">
      <c r="A59" s="1" t="s">
        <v>308</v>
      </c>
      <c r="B59" s="1" t="s">
        <v>308</v>
      </c>
      <c r="C59" s="1">
        <v>1</v>
      </c>
      <c r="D59" s="1">
        <v>0</v>
      </c>
      <c r="E59" s="1" t="s">
        <v>1945</v>
      </c>
      <c r="F59" s="1" t="s">
        <v>2133</v>
      </c>
      <c r="G59" s="1" t="s">
        <v>1945</v>
      </c>
      <c r="H59" s="1" t="str">
        <f t="shared" si="0"/>
        <v>namq_10_gdp_D21X31</v>
      </c>
      <c r="I59" s="1" t="s">
        <v>1679</v>
      </c>
      <c r="K59" s="1" t="s">
        <v>1666</v>
      </c>
      <c r="L59" s="1" t="s">
        <v>1733</v>
      </c>
      <c r="M59" s="1" t="s">
        <v>1732</v>
      </c>
      <c r="N59" s="1" t="s">
        <v>1676</v>
      </c>
      <c r="O59" s="1" t="s">
        <v>101</v>
      </c>
      <c r="P59" s="1" t="s">
        <v>1946</v>
      </c>
      <c r="Q59" s="1" t="s">
        <v>713</v>
      </c>
      <c r="R59" s="1" t="s">
        <v>1675</v>
      </c>
      <c r="S59" s="1" t="s">
        <v>1905</v>
      </c>
    </row>
    <row r="60" spans="1:19" ht="12.75" x14ac:dyDescent="0.2">
      <c r="A60" s="1" t="s">
        <v>308</v>
      </c>
      <c r="B60" s="1" t="s">
        <v>308</v>
      </c>
      <c r="C60" s="1">
        <v>1</v>
      </c>
      <c r="D60" s="1">
        <v>0</v>
      </c>
      <c r="E60" s="1" t="s">
        <v>1945</v>
      </c>
      <c r="F60" s="1" t="s">
        <v>2133</v>
      </c>
      <c r="G60" s="1" t="s">
        <v>1945</v>
      </c>
      <c r="H60" s="1" t="str">
        <f t="shared" si="0"/>
        <v>namq_10_gdp_D2X3</v>
      </c>
      <c r="I60" s="1" t="s">
        <v>1679</v>
      </c>
      <c r="K60" s="1" t="s">
        <v>1666</v>
      </c>
      <c r="L60" s="1" t="s">
        <v>1731</v>
      </c>
      <c r="M60" s="1" t="s">
        <v>1730</v>
      </c>
      <c r="N60" s="1" t="s">
        <v>1676</v>
      </c>
      <c r="O60" s="1" t="s">
        <v>101</v>
      </c>
      <c r="P60" s="1" t="s">
        <v>1946</v>
      </c>
      <c r="Q60" s="1" t="s">
        <v>713</v>
      </c>
      <c r="R60" s="1" t="s">
        <v>1675</v>
      </c>
      <c r="S60" s="1" t="s">
        <v>1905</v>
      </c>
    </row>
    <row r="61" spans="1:19" ht="12.75" x14ac:dyDescent="0.2">
      <c r="A61" s="1" t="s">
        <v>308</v>
      </c>
      <c r="B61" s="1" t="s">
        <v>308</v>
      </c>
      <c r="C61" s="1">
        <v>1</v>
      </c>
      <c r="D61" s="1">
        <v>0</v>
      </c>
      <c r="E61" s="1" t="s">
        <v>1945</v>
      </c>
      <c r="F61" s="1" t="s">
        <v>2133</v>
      </c>
      <c r="G61" s="1" t="s">
        <v>1945</v>
      </c>
      <c r="H61" s="1" t="str">
        <f t="shared" si="0"/>
        <v>namq_10_gdp_D3</v>
      </c>
      <c r="I61" s="1" t="s">
        <v>1679</v>
      </c>
      <c r="K61" s="1" t="s">
        <v>1666</v>
      </c>
      <c r="L61" s="1" t="s">
        <v>1729</v>
      </c>
      <c r="M61" s="1" t="s">
        <v>1728</v>
      </c>
      <c r="N61" s="1" t="s">
        <v>1676</v>
      </c>
      <c r="O61" s="1" t="s">
        <v>101</v>
      </c>
      <c r="P61" s="1" t="s">
        <v>1946</v>
      </c>
      <c r="Q61" s="1" t="s">
        <v>713</v>
      </c>
      <c r="R61" s="1" t="s">
        <v>1675</v>
      </c>
      <c r="S61" s="1" t="s">
        <v>1905</v>
      </c>
    </row>
    <row r="62" spans="1:19" ht="12.75" x14ac:dyDescent="0.2">
      <c r="A62" s="1" t="s">
        <v>308</v>
      </c>
      <c r="B62" s="1" t="s">
        <v>308</v>
      </c>
      <c r="C62" s="1">
        <v>1</v>
      </c>
      <c r="D62" s="1">
        <v>0</v>
      </c>
      <c r="E62" s="1" t="s">
        <v>1945</v>
      </c>
      <c r="F62" s="1" t="s">
        <v>2133</v>
      </c>
      <c r="G62" s="1" t="s">
        <v>1945</v>
      </c>
      <c r="H62" s="1" t="str">
        <f t="shared" si="0"/>
        <v>namq_10_gdp_D31</v>
      </c>
      <c r="I62" s="1" t="s">
        <v>1679</v>
      </c>
      <c r="K62" s="1" t="s">
        <v>1666</v>
      </c>
      <c r="L62" s="1" t="s">
        <v>1727</v>
      </c>
      <c r="M62" s="1" t="s">
        <v>1726</v>
      </c>
      <c r="N62" s="1" t="s">
        <v>1676</v>
      </c>
      <c r="O62" s="1" t="s">
        <v>101</v>
      </c>
      <c r="P62" s="1" t="s">
        <v>1946</v>
      </c>
      <c r="Q62" s="1" t="s">
        <v>713</v>
      </c>
      <c r="R62" s="1" t="s">
        <v>1675</v>
      </c>
      <c r="S62" s="1" t="s">
        <v>1905</v>
      </c>
    </row>
    <row r="63" spans="1:19" ht="12.75" x14ac:dyDescent="0.2">
      <c r="A63" s="1" t="s">
        <v>308</v>
      </c>
      <c r="B63" s="1" t="s">
        <v>308</v>
      </c>
      <c r="C63" s="1">
        <v>1</v>
      </c>
      <c r="D63" s="1">
        <v>0</v>
      </c>
      <c r="E63" s="1" t="s">
        <v>1945</v>
      </c>
      <c r="F63" s="1" t="s">
        <v>2133</v>
      </c>
      <c r="G63" s="1" t="s">
        <v>1945</v>
      </c>
      <c r="H63" s="1" t="str">
        <f t="shared" si="0"/>
        <v>namq_10_gdp_P3</v>
      </c>
      <c r="I63" s="1" t="s">
        <v>1679</v>
      </c>
      <c r="K63" s="1" t="s">
        <v>1666</v>
      </c>
      <c r="L63" s="1" t="s">
        <v>1725</v>
      </c>
      <c r="M63" s="1" t="s">
        <v>1724</v>
      </c>
      <c r="N63" s="1" t="s">
        <v>1676</v>
      </c>
      <c r="O63" s="1" t="s">
        <v>101</v>
      </c>
      <c r="P63" s="1" t="s">
        <v>1946</v>
      </c>
      <c r="Q63" s="1" t="s">
        <v>713</v>
      </c>
      <c r="R63" s="1" t="s">
        <v>1675</v>
      </c>
      <c r="S63" s="1" t="s">
        <v>1905</v>
      </c>
    </row>
    <row r="64" spans="1:19" ht="12.75" x14ac:dyDescent="0.2">
      <c r="A64" s="1" t="s">
        <v>308</v>
      </c>
      <c r="B64" s="1" t="s">
        <v>308</v>
      </c>
      <c r="C64" s="1">
        <v>1</v>
      </c>
      <c r="D64" s="1">
        <v>0</v>
      </c>
      <c r="E64" s="1" t="s">
        <v>1945</v>
      </c>
      <c r="F64" s="1" t="s">
        <v>2133</v>
      </c>
      <c r="G64" s="1" t="s">
        <v>1945</v>
      </c>
      <c r="H64" s="1" t="str">
        <f t="shared" si="0"/>
        <v>namq_10_gdp_P3_P5</v>
      </c>
      <c r="I64" s="1" t="s">
        <v>1679</v>
      </c>
      <c r="K64" s="1" t="s">
        <v>1666</v>
      </c>
      <c r="L64" s="1" t="s">
        <v>1723</v>
      </c>
      <c r="M64" s="1" t="s">
        <v>1722</v>
      </c>
      <c r="N64" s="1" t="s">
        <v>1676</v>
      </c>
      <c r="O64" s="1" t="s">
        <v>101</v>
      </c>
      <c r="P64" s="1" t="s">
        <v>1946</v>
      </c>
      <c r="Q64" s="1" t="s">
        <v>713</v>
      </c>
      <c r="R64" s="1" t="s">
        <v>1675</v>
      </c>
      <c r="S64" s="1" t="s">
        <v>1905</v>
      </c>
    </row>
    <row r="65" spans="1:19" ht="12.75" x14ac:dyDescent="0.2">
      <c r="A65" s="1" t="s">
        <v>308</v>
      </c>
      <c r="B65" s="1" t="s">
        <v>308</v>
      </c>
      <c r="C65" s="1">
        <v>1</v>
      </c>
      <c r="D65" s="1">
        <v>0</v>
      </c>
      <c r="E65" s="1" t="s">
        <v>1945</v>
      </c>
      <c r="F65" s="1" t="s">
        <v>2133</v>
      </c>
      <c r="G65" s="1" t="s">
        <v>1945</v>
      </c>
      <c r="H65" s="1" t="str">
        <f t="shared" si="0"/>
        <v>namq_10_gdp_P3_P6</v>
      </c>
      <c r="I65" s="1" t="s">
        <v>1679</v>
      </c>
      <c r="K65" s="1" t="s">
        <v>1666</v>
      </c>
      <c r="L65" s="1" t="s">
        <v>1721</v>
      </c>
      <c r="M65" s="1" t="s">
        <v>1720</v>
      </c>
      <c r="N65" s="1" t="s">
        <v>1676</v>
      </c>
      <c r="O65" s="1" t="s">
        <v>101</v>
      </c>
      <c r="P65" s="1" t="s">
        <v>1946</v>
      </c>
      <c r="Q65" s="1" t="s">
        <v>713</v>
      </c>
      <c r="R65" s="1" t="s">
        <v>1675</v>
      </c>
      <c r="S65" s="1" t="s">
        <v>1905</v>
      </c>
    </row>
    <row r="66" spans="1:19" ht="12.75" x14ac:dyDescent="0.2">
      <c r="A66" s="1" t="s">
        <v>308</v>
      </c>
      <c r="B66" s="1" t="s">
        <v>308</v>
      </c>
      <c r="C66" s="1">
        <v>1</v>
      </c>
      <c r="D66" s="1">
        <v>0</v>
      </c>
      <c r="E66" s="1" t="s">
        <v>1945</v>
      </c>
      <c r="F66" s="1" t="s">
        <v>2133</v>
      </c>
      <c r="G66" s="1" t="s">
        <v>1945</v>
      </c>
      <c r="H66" s="1" t="str">
        <f t="shared" si="0"/>
        <v>namq_10_gdp_P3_S13</v>
      </c>
      <c r="I66" s="1" t="s">
        <v>1679</v>
      </c>
      <c r="K66" s="1" t="s">
        <v>1666</v>
      </c>
      <c r="L66" s="1" t="s">
        <v>1719</v>
      </c>
      <c r="M66" s="1" t="s">
        <v>1718</v>
      </c>
      <c r="N66" s="1" t="s">
        <v>1676</v>
      </c>
      <c r="O66" s="1" t="s">
        <v>101</v>
      </c>
      <c r="P66" s="1" t="s">
        <v>1946</v>
      </c>
      <c r="Q66" s="1" t="s">
        <v>713</v>
      </c>
      <c r="R66" s="1" t="s">
        <v>1675</v>
      </c>
      <c r="S66" s="1" t="s">
        <v>1905</v>
      </c>
    </row>
    <row r="67" spans="1:19" ht="12.75" x14ac:dyDescent="0.2">
      <c r="A67" s="1" t="s">
        <v>308</v>
      </c>
      <c r="B67" s="1" t="s">
        <v>308</v>
      </c>
      <c r="C67" s="1">
        <v>1</v>
      </c>
      <c r="D67" s="1">
        <v>0</v>
      </c>
      <c r="E67" s="1" t="s">
        <v>1945</v>
      </c>
      <c r="F67" s="1" t="s">
        <v>2133</v>
      </c>
      <c r="G67" s="1" t="s">
        <v>1945</v>
      </c>
      <c r="H67" s="1" t="str">
        <f t="shared" ref="H67:H130" si="1">+I67&amp;"_"&amp;L67</f>
        <v>namq_10_gdp_P31_S13</v>
      </c>
      <c r="I67" s="1" t="s">
        <v>1679</v>
      </c>
      <c r="K67" s="1" t="s">
        <v>1666</v>
      </c>
      <c r="L67" s="1" t="s">
        <v>1717</v>
      </c>
      <c r="M67" s="1" t="s">
        <v>1716</v>
      </c>
      <c r="N67" s="1" t="s">
        <v>1676</v>
      </c>
      <c r="O67" s="1" t="s">
        <v>101</v>
      </c>
      <c r="P67" s="1" t="s">
        <v>1946</v>
      </c>
      <c r="Q67" s="1" t="s">
        <v>713</v>
      </c>
      <c r="R67" s="1" t="s">
        <v>1675</v>
      </c>
      <c r="S67" s="1" t="s">
        <v>1905</v>
      </c>
    </row>
    <row r="68" spans="1:19" ht="12.75" x14ac:dyDescent="0.2">
      <c r="A68" s="1" t="s">
        <v>308</v>
      </c>
      <c r="B68" s="1" t="s">
        <v>308</v>
      </c>
      <c r="C68" s="1">
        <v>1</v>
      </c>
      <c r="D68" s="1">
        <v>0</v>
      </c>
      <c r="E68" s="1" t="s">
        <v>1945</v>
      </c>
      <c r="F68" s="1" t="s">
        <v>2133</v>
      </c>
      <c r="G68" s="1" t="s">
        <v>1945</v>
      </c>
      <c r="H68" s="1" t="str">
        <f t="shared" si="1"/>
        <v>namq_10_gdp_P31_S14</v>
      </c>
      <c r="I68" s="1" t="s">
        <v>1679</v>
      </c>
      <c r="K68" s="1" t="s">
        <v>1666</v>
      </c>
      <c r="L68" s="1" t="s">
        <v>1715</v>
      </c>
      <c r="M68" s="1" t="s">
        <v>1714</v>
      </c>
      <c r="N68" s="1" t="s">
        <v>1676</v>
      </c>
      <c r="O68" s="1" t="s">
        <v>101</v>
      </c>
      <c r="P68" s="1" t="s">
        <v>1946</v>
      </c>
      <c r="Q68" s="1" t="s">
        <v>713</v>
      </c>
      <c r="R68" s="1" t="s">
        <v>1675</v>
      </c>
      <c r="S68" s="1" t="s">
        <v>1905</v>
      </c>
    </row>
    <row r="69" spans="1:19" ht="12.75" x14ac:dyDescent="0.2">
      <c r="A69" s="1" t="s">
        <v>308</v>
      </c>
      <c r="B69" s="1" t="s">
        <v>308</v>
      </c>
      <c r="C69" s="1">
        <v>1</v>
      </c>
      <c r="D69" s="1">
        <v>0</v>
      </c>
      <c r="E69" s="1" t="s">
        <v>1945</v>
      </c>
      <c r="F69" s="1" t="s">
        <v>2133</v>
      </c>
      <c r="G69" s="1" t="s">
        <v>1945</v>
      </c>
      <c r="H69" s="1" t="str">
        <f t="shared" si="1"/>
        <v>namq_10_gdp_P31_S14_S15</v>
      </c>
      <c r="I69" s="1" t="s">
        <v>1679</v>
      </c>
      <c r="K69" s="1" t="s">
        <v>1666</v>
      </c>
      <c r="L69" s="1" t="s">
        <v>1713</v>
      </c>
      <c r="M69" s="1" t="s">
        <v>1712</v>
      </c>
      <c r="N69" s="1" t="s">
        <v>1676</v>
      </c>
      <c r="O69" s="1" t="s">
        <v>101</v>
      </c>
      <c r="P69" s="1" t="s">
        <v>1946</v>
      </c>
      <c r="Q69" s="1" t="s">
        <v>713</v>
      </c>
      <c r="R69" s="1" t="s">
        <v>1675</v>
      </c>
      <c r="S69" s="1" t="s">
        <v>1905</v>
      </c>
    </row>
    <row r="70" spans="1:19" ht="12.75" x14ac:dyDescent="0.2">
      <c r="A70" s="1" t="s">
        <v>308</v>
      </c>
      <c r="B70" s="1" t="s">
        <v>308</v>
      </c>
      <c r="C70" s="1">
        <v>1</v>
      </c>
      <c r="D70" s="1">
        <v>0</v>
      </c>
      <c r="E70" s="1" t="s">
        <v>1945</v>
      </c>
      <c r="F70" s="1" t="s">
        <v>2133</v>
      </c>
      <c r="G70" s="1" t="s">
        <v>1945</v>
      </c>
      <c r="H70" s="1" t="str">
        <f t="shared" si="1"/>
        <v>namq_10_gdp_P31_S15</v>
      </c>
      <c r="I70" s="1" t="s">
        <v>1679</v>
      </c>
      <c r="K70" s="1" t="s">
        <v>1666</v>
      </c>
      <c r="L70" s="1" t="s">
        <v>1711</v>
      </c>
      <c r="M70" s="1" t="s">
        <v>1710</v>
      </c>
      <c r="N70" s="1" t="s">
        <v>1676</v>
      </c>
      <c r="O70" s="1" t="s">
        <v>101</v>
      </c>
      <c r="P70" s="1" t="s">
        <v>1946</v>
      </c>
      <c r="Q70" s="1" t="s">
        <v>713</v>
      </c>
      <c r="R70" s="1" t="s">
        <v>1675</v>
      </c>
      <c r="S70" s="1" t="s">
        <v>1905</v>
      </c>
    </row>
    <row r="71" spans="1:19" ht="12.75" x14ac:dyDescent="0.2">
      <c r="A71" s="1" t="s">
        <v>308</v>
      </c>
      <c r="B71" s="1" t="s">
        <v>308</v>
      </c>
      <c r="C71" s="1">
        <v>1</v>
      </c>
      <c r="D71" s="1">
        <v>0</v>
      </c>
      <c r="E71" s="1" t="s">
        <v>1945</v>
      </c>
      <c r="F71" s="1" t="s">
        <v>2133</v>
      </c>
      <c r="G71" s="1" t="s">
        <v>1945</v>
      </c>
      <c r="H71" s="1" t="str">
        <f t="shared" si="1"/>
        <v>namq_10_gdp_P32_S13</v>
      </c>
      <c r="I71" s="1" t="s">
        <v>1679</v>
      </c>
      <c r="K71" s="1" t="s">
        <v>1666</v>
      </c>
      <c r="L71" s="1" t="s">
        <v>1709</v>
      </c>
      <c r="M71" s="1" t="s">
        <v>1708</v>
      </c>
      <c r="N71" s="1" t="s">
        <v>1676</v>
      </c>
      <c r="O71" s="1" t="s">
        <v>101</v>
      </c>
      <c r="P71" s="1" t="s">
        <v>1946</v>
      </c>
      <c r="Q71" s="1" t="s">
        <v>713</v>
      </c>
      <c r="R71" s="1" t="s">
        <v>1675</v>
      </c>
      <c r="S71" s="1" t="s">
        <v>1905</v>
      </c>
    </row>
    <row r="72" spans="1:19" ht="12.75" x14ac:dyDescent="0.2">
      <c r="A72" s="1" t="s">
        <v>308</v>
      </c>
      <c r="B72" s="1" t="s">
        <v>308</v>
      </c>
      <c r="C72" s="1">
        <v>1</v>
      </c>
      <c r="D72" s="1">
        <v>0</v>
      </c>
      <c r="E72" s="1" t="s">
        <v>1945</v>
      </c>
      <c r="F72" s="1" t="s">
        <v>2133</v>
      </c>
      <c r="G72" s="1" t="s">
        <v>1945</v>
      </c>
      <c r="H72" s="1" t="str">
        <f t="shared" si="1"/>
        <v>namq_10_gdp_P41</v>
      </c>
      <c r="I72" s="1" t="s">
        <v>1679</v>
      </c>
      <c r="K72" s="1" t="s">
        <v>1666</v>
      </c>
      <c r="L72" s="1" t="s">
        <v>1707</v>
      </c>
      <c r="M72" s="1" t="s">
        <v>1706</v>
      </c>
      <c r="N72" s="1" t="s">
        <v>1676</v>
      </c>
      <c r="O72" s="1" t="s">
        <v>101</v>
      </c>
      <c r="P72" s="1" t="s">
        <v>1946</v>
      </c>
      <c r="Q72" s="1" t="s">
        <v>713</v>
      </c>
      <c r="R72" s="1" t="s">
        <v>1675</v>
      </c>
      <c r="S72" s="1" t="s">
        <v>1905</v>
      </c>
    </row>
    <row r="73" spans="1:19" ht="12.75" x14ac:dyDescent="0.2">
      <c r="A73" s="1" t="s">
        <v>308</v>
      </c>
      <c r="B73" s="1" t="s">
        <v>308</v>
      </c>
      <c r="C73" s="1">
        <v>1</v>
      </c>
      <c r="D73" s="1">
        <v>0</v>
      </c>
      <c r="E73" s="1" t="s">
        <v>1945</v>
      </c>
      <c r="F73" s="1" t="s">
        <v>2133</v>
      </c>
      <c r="G73" s="1" t="s">
        <v>1945</v>
      </c>
      <c r="H73" s="1" t="str">
        <f t="shared" si="1"/>
        <v>namq_10_gdp_P51G</v>
      </c>
      <c r="I73" s="1" t="s">
        <v>1679</v>
      </c>
      <c r="K73" s="1" t="s">
        <v>1666</v>
      </c>
      <c r="L73" s="1" t="s">
        <v>1705</v>
      </c>
      <c r="M73" s="1" t="s">
        <v>1704</v>
      </c>
      <c r="N73" s="1" t="s">
        <v>1676</v>
      </c>
      <c r="O73" s="1" t="s">
        <v>101</v>
      </c>
      <c r="P73" s="1" t="s">
        <v>1946</v>
      </c>
      <c r="Q73" s="1" t="s">
        <v>713</v>
      </c>
      <c r="R73" s="1" t="s">
        <v>1675</v>
      </c>
      <c r="S73" s="1" t="s">
        <v>1905</v>
      </c>
    </row>
    <row r="74" spans="1:19" ht="12.75" x14ac:dyDescent="0.2">
      <c r="A74" s="1" t="s">
        <v>308</v>
      </c>
      <c r="B74" s="1" t="s">
        <v>308</v>
      </c>
      <c r="C74" s="1">
        <v>1</v>
      </c>
      <c r="D74" s="1">
        <v>0</v>
      </c>
      <c r="E74" s="1" t="s">
        <v>1945</v>
      </c>
      <c r="F74" s="1" t="s">
        <v>2133</v>
      </c>
      <c r="G74" s="1" t="s">
        <v>1945</v>
      </c>
      <c r="H74" s="1" t="str">
        <f t="shared" si="1"/>
        <v>namq_10_gdp_P52</v>
      </c>
      <c r="I74" s="1" t="s">
        <v>1679</v>
      </c>
      <c r="K74" s="1" t="s">
        <v>1666</v>
      </c>
      <c r="L74" s="1" t="s">
        <v>1703</v>
      </c>
      <c r="M74" s="1" t="s">
        <v>1702</v>
      </c>
      <c r="N74" s="1" t="s">
        <v>1676</v>
      </c>
      <c r="O74" s="1" t="s">
        <v>101</v>
      </c>
      <c r="P74" s="1" t="s">
        <v>1946</v>
      </c>
      <c r="Q74" s="1" t="s">
        <v>713</v>
      </c>
      <c r="R74" s="1" t="s">
        <v>1675</v>
      </c>
      <c r="S74" s="1" t="s">
        <v>1905</v>
      </c>
    </row>
    <row r="75" spans="1:19" ht="12.75" x14ac:dyDescent="0.2">
      <c r="A75" s="1" t="s">
        <v>308</v>
      </c>
      <c r="B75" s="1" t="s">
        <v>308</v>
      </c>
      <c r="C75" s="1">
        <v>1</v>
      </c>
      <c r="D75" s="1">
        <v>0</v>
      </c>
      <c r="E75" s="1" t="s">
        <v>1945</v>
      </c>
      <c r="F75" s="1" t="s">
        <v>2133</v>
      </c>
      <c r="G75" s="1" t="s">
        <v>1945</v>
      </c>
      <c r="H75" s="1" t="str">
        <f t="shared" si="1"/>
        <v>namq_10_gdp_P52_P53</v>
      </c>
      <c r="I75" s="1" t="s">
        <v>1679</v>
      </c>
      <c r="K75" s="1" t="s">
        <v>1666</v>
      </c>
      <c r="L75" s="1" t="s">
        <v>1701</v>
      </c>
      <c r="M75" s="1" t="s">
        <v>1700</v>
      </c>
      <c r="N75" s="1" t="s">
        <v>1676</v>
      </c>
      <c r="O75" s="1" t="s">
        <v>101</v>
      </c>
      <c r="P75" s="1" t="s">
        <v>1946</v>
      </c>
      <c r="Q75" s="1" t="s">
        <v>713</v>
      </c>
      <c r="R75" s="1" t="s">
        <v>1675</v>
      </c>
      <c r="S75" s="1" t="s">
        <v>1905</v>
      </c>
    </row>
    <row r="76" spans="1:19" ht="12.75" x14ac:dyDescent="0.2">
      <c r="A76" s="1" t="s">
        <v>308</v>
      </c>
      <c r="B76" s="1" t="s">
        <v>308</v>
      </c>
      <c r="C76" s="1">
        <v>1</v>
      </c>
      <c r="D76" s="1">
        <v>0</v>
      </c>
      <c r="E76" s="1" t="s">
        <v>1945</v>
      </c>
      <c r="F76" s="1" t="s">
        <v>2133</v>
      </c>
      <c r="G76" s="1" t="s">
        <v>1945</v>
      </c>
      <c r="H76" s="1" t="str">
        <f t="shared" si="1"/>
        <v>namq_10_gdp_P53</v>
      </c>
      <c r="I76" s="1" t="s">
        <v>1679</v>
      </c>
      <c r="K76" s="1" t="s">
        <v>1666</v>
      </c>
      <c r="L76" s="1" t="s">
        <v>1699</v>
      </c>
      <c r="M76" s="1" t="s">
        <v>1698</v>
      </c>
      <c r="N76" s="1" t="s">
        <v>1676</v>
      </c>
      <c r="O76" s="1" t="s">
        <v>101</v>
      </c>
      <c r="P76" s="1" t="s">
        <v>1946</v>
      </c>
      <c r="Q76" s="1" t="s">
        <v>713</v>
      </c>
      <c r="R76" s="1" t="s">
        <v>1675</v>
      </c>
      <c r="S76" s="1" t="s">
        <v>1905</v>
      </c>
    </row>
    <row r="77" spans="1:19" ht="12.75" x14ac:dyDescent="0.2">
      <c r="A77" s="1" t="s">
        <v>308</v>
      </c>
      <c r="B77" s="1" t="s">
        <v>308</v>
      </c>
      <c r="C77" s="1">
        <v>1</v>
      </c>
      <c r="D77" s="1">
        <v>0</v>
      </c>
      <c r="E77" s="1" t="s">
        <v>1945</v>
      </c>
      <c r="F77" s="1" t="s">
        <v>2133</v>
      </c>
      <c r="G77" s="1" t="s">
        <v>1945</v>
      </c>
      <c r="H77" s="1" t="str">
        <f t="shared" si="1"/>
        <v>namq_10_gdp_P5G</v>
      </c>
      <c r="I77" s="1" t="s">
        <v>1679</v>
      </c>
      <c r="K77" s="1" t="s">
        <v>1666</v>
      </c>
      <c r="L77" s="1" t="s">
        <v>1697</v>
      </c>
      <c r="M77" s="1" t="s">
        <v>1696</v>
      </c>
      <c r="N77" s="1" t="s">
        <v>1676</v>
      </c>
      <c r="O77" s="1" t="s">
        <v>101</v>
      </c>
      <c r="P77" s="1" t="s">
        <v>1946</v>
      </c>
      <c r="Q77" s="1" t="s">
        <v>713</v>
      </c>
      <c r="R77" s="1" t="s">
        <v>1675</v>
      </c>
      <c r="S77" s="1" t="s">
        <v>1905</v>
      </c>
    </row>
    <row r="78" spans="1:19" ht="12.75" x14ac:dyDescent="0.2">
      <c r="A78" s="1" t="s">
        <v>308</v>
      </c>
      <c r="B78" s="1" t="s">
        <v>308</v>
      </c>
      <c r="C78" s="1">
        <v>1</v>
      </c>
      <c r="D78" s="1">
        <v>0</v>
      </c>
      <c r="E78" s="1" t="s">
        <v>1945</v>
      </c>
      <c r="F78" s="1" t="s">
        <v>2133</v>
      </c>
      <c r="G78" s="1" t="s">
        <v>1945</v>
      </c>
      <c r="H78" s="1" t="str">
        <f t="shared" si="1"/>
        <v>namq_10_gdp_P6</v>
      </c>
      <c r="I78" s="1" t="s">
        <v>1679</v>
      </c>
      <c r="K78" s="1" t="s">
        <v>1666</v>
      </c>
      <c r="L78" s="1" t="s">
        <v>1695</v>
      </c>
      <c r="M78" s="1" t="s">
        <v>1694</v>
      </c>
      <c r="N78" s="1" t="s">
        <v>1676</v>
      </c>
      <c r="O78" s="1" t="s">
        <v>101</v>
      </c>
      <c r="P78" s="1" t="s">
        <v>1946</v>
      </c>
      <c r="Q78" s="1" t="s">
        <v>713</v>
      </c>
      <c r="R78" s="1" t="s">
        <v>1675</v>
      </c>
      <c r="S78" s="1" t="s">
        <v>1905</v>
      </c>
    </row>
    <row r="79" spans="1:19" ht="12.75" x14ac:dyDescent="0.2">
      <c r="A79" s="1" t="s">
        <v>308</v>
      </c>
      <c r="B79" s="1" t="s">
        <v>308</v>
      </c>
      <c r="C79" s="1">
        <v>1</v>
      </c>
      <c r="D79" s="1">
        <v>0</v>
      </c>
      <c r="E79" s="1" t="s">
        <v>1945</v>
      </c>
      <c r="F79" s="1" t="s">
        <v>2133</v>
      </c>
      <c r="G79" s="1" t="s">
        <v>1945</v>
      </c>
      <c r="H79" s="1" t="str">
        <f t="shared" si="1"/>
        <v>namq_10_gdp_P61</v>
      </c>
      <c r="I79" s="1" t="s">
        <v>1679</v>
      </c>
      <c r="K79" s="1" t="s">
        <v>1666</v>
      </c>
      <c r="L79" s="1" t="s">
        <v>1693</v>
      </c>
      <c r="M79" s="1" t="s">
        <v>1692</v>
      </c>
      <c r="N79" s="1" t="s">
        <v>1676</v>
      </c>
      <c r="O79" s="1" t="s">
        <v>101</v>
      </c>
      <c r="P79" s="1" t="s">
        <v>1946</v>
      </c>
      <c r="Q79" s="1" t="s">
        <v>713</v>
      </c>
      <c r="R79" s="1" t="s">
        <v>1675</v>
      </c>
      <c r="S79" s="1" t="s">
        <v>1905</v>
      </c>
    </row>
    <row r="80" spans="1:19" ht="12.75" x14ac:dyDescent="0.2">
      <c r="A80" s="1" t="s">
        <v>308</v>
      </c>
      <c r="B80" s="1" t="s">
        <v>308</v>
      </c>
      <c r="C80" s="1">
        <v>1</v>
      </c>
      <c r="D80" s="1">
        <v>0</v>
      </c>
      <c r="E80" s="1" t="s">
        <v>1945</v>
      </c>
      <c r="F80" s="1" t="s">
        <v>2133</v>
      </c>
      <c r="G80" s="1" t="s">
        <v>1945</v>
      </c>
      <c r="H80" s="1" t="str">
        <f t="shared" si="1"/>
        <v>namq_10_gdp_P62</v>
      </c>
      <c r="I80" s="1" t="s">
        <v>1679</v>
      </c>
      <c r="K80" s="1" t="s">
        <v>1666</v>
      </c>
      <c r="L80" s="1" t="s">
        <v>1691</v>
      </c>
      <c r="M80" s="1" t="s">
        <v>1690</v>
      </c>
      <c r="N80" s="1" t="s">
        <v>1676</v>
      </c>
      <c r="O80" s="1" t="s">
        <v>101</v>
      </c>
      <c r="P80" s="1" t="s">
        <v>1946</v>
      </c>
      <c r="Q80" s="1" t="s">
        <v>713</v>
      </c>
      <c r="R80" s="1" t="s">
        <v>1675</v>
      </c>
      <c r="S80" s="1" t="s">
        <v>1905</v>
      </c>
    </row>
    <row r="81" spans="1:19" ht="12.75" x14ac:dyDescent="0.2">
      <c r="A81" s="1" t="s">
        <v>308</v>
      </c>
      <c r="B81" s="1" t="s">
        <v>308</v>
      </c>
      <c r="C81" s="1">
        <v>1</v>
      </c>
      <c r="D81" s="1">
        <v>0</v>
      </c>
      <c r="E81" s="1" t="s">
        <v>1945</v>
      </c>
      <c r="F81" s="1" t="s">
        <v>2133</v>
      </c>
      <c r="G81" s="1" t="s">
        <v>1945</v>
      </c>
      <c r="H81" s="1" t="str">
        <f t="shared" si="1"/>
        <v>namq_10_gdp_P7</v>
      </c>
      <c r="I81" s="1" t="s">
        <v>1679</v>
      </c>
      <c r="K81" s="1" t="s">
        <v>1666</v>
      </c>
      <c r="L81" s="1" t="s">
        <v>1689</v>
      </c>
      <c r="M81" s="1" t="s">
        <v>1688</v>
      </c>
      <c r="N81" s="1" t="s">
        <v>1676</v>
      </c>
      <c r="O81" s="1" t="s">
        <v>101</v>
      </c>
      <c r="P81" s="1" t="s">
        <v>1946</v>
      </c>
      <c r="Q81" s="1" t="s">
        <v>713</v>
      </c>
      <c r="R81" s="1" t="s">
        <v>1675</v>
      </c>
      <c r="S81" s="1" t="s">
        <v>1905</v>
      </c>
    </row>
    <row r="82" spans="1:19" ht="12.75" x14ac:dyDescent="0.2">
      <c r="A82" s="1" t="s">
        <v>308</v>
      </c>
      <c r="B82" s="1" t="s">
        <v>308</v>
      </c>
      <c r="C82" s="1">
        <v>1</v>
      </c>
      <c r="D82" s="1">
        <v>0</v>
      </c>
      <c r="E82" s="1" t="s">
        <v>1945</v>
      </c>
      <c r="F82" s="1" t="s">
        <v>2133</v>
      </c>
      <c r="G82" s="1" t="s">
        <v>1945</v>
      </c>
      <c r="H82" s="1" t="str">
        <f t="shared" si="1"/>
        <v>namq_10_gdp_P71</v>
      </c>
      <c r="I82" s="1" t="s">
        <v>1679</v>
      </c>
      <c r="K82" s="1" t="s">
        <v>1666</v>
      </c>
      <c r="L82" s="1" t="s">
        <v>1687</v>
      </c>
      <c r="M82" s="1" t="s">
        <v>1686</v>
      </c>
      <c r="N82" s="1" t="s">
        <v>1676</v>
      </c>
      <c r="O82" s="1" t="s">
        <v>101</v>
      </c>
      <c r="P82" s="1" t="s">
        <v>1946</v>
      </c>
      <c r="Q82" s="1" t="s">
        <v>713</v>
      </c>
      <c r="R82" s="1" t="s">
        <v>1675</v>
      </c>
      <c r="S82" s="1" t="s">
        <v>1905</v>
      </c>
    </row>
    <row r="83" spans="1:19" ht="12.75" x14ac:dyDescent="0.2">
      <c r="A83" s="1" t="s">
        <v>308</v>
      </c>
      <c r="B83" s="1" t="s">
        <v>308</v>
      </c>
      <c r="C83" s="1">
        <v>1</v>
      </c>
      <c r="D83" s="1">
        <v>0</v>
      </c>
      <c r="E83" s="1" t="s">
        <v>1945</v>
      </c>
      <c r="F83" s="1" t="s">
        <v>2133</v>
      </c>
      <c r="G83" s="1" t="s">
        <v>1945</v>
      </c>
      <c r="H83" s="1" t="str">
        <f t="shared" si="1"/>
        <v>namq_10_gdp_P72</v>
      </c>
      <c r="I83" s="1" t="s">
        <v>1679</v>
      </c>
      <c r="K83" s="1" t="s">
        <v>1666</v>
      </c>
      <c r="L83" s="1" t="s">
        <v>1685</v>
      </c>
      <c r="M83" s="1" t="s">
        <v>1684</v>
      </c>
      <c r="N83" s="1" t="s">
        <v>1676</v>
      </c>
      <c r="O83" s="1" t="s">
        <v>101</v>
      </c>
      <c r="P83" s="1" t="s">
        <v>1946</v>
      </c>
      <c r="Q83" s="1" t="s">
        <v>713</v>
      </c>
      <c r="R83" s="1" t="s">
        <v>1675</v>
      </c>
      <c r="S83" s="1" t="s">
        <v>1905</v>
      </c>
    </row>
    <row r="84" spans="1:19" ht="12.75" x14ac:dyDescent="0.2">
      <c r="A84" s="1" t="s">
        <v>308</v>
      </c>
      <c r="B84" s="1" t="s">
        <v>308</v>
      </c>
      <c r="C84" s="1">
        <v>1</v>
      </c>
      <c r="D84" s="1">
        <v>0</v>
      </c>
      <c r="E84" s="1" t="s">
        <v>1945</v>
      </c>
      <c r="F84" s="1" t="s">
        <v>2133</v>
      </c>
      <c r="G84" s="1" t="s">
        <v>1945</v>
      </c>
      <c r="H84" s="1" t="str">
        <f t="shared" si="1"/>
        <v>namq_10_gdp_YA0</v>
      </c>
      <c r="I84" s="1" t="s">
        <v>1679</v>
      </c>
      <c r="K84" s="1" t="s">
        <v>1666</v>
      </c>
      <c r="L84" s="1" t="s">
        <v>1683</v>
      </c>
      <c r="M84" s="1" t="s">
        <v>1682</v>
      </c>
      <c r="N84" s="1" t="s">
        <v>1676</v>
      </c>
      <c r="O84" s="1" t="s">
        <v>101</v>
      </c>
      <c r="P84" s="1" t="s">
        <v>1946</v>
      </c>
      <c r="Q84" s="1" t="s">
        <v>713</v>
      </c>
      <c r="R84" s="1" t="s">
        <v>1675</v>
      </c>
      <c r="S84" s="1" t="s">
        <v>1905</v>
      </c>
    </row>
    <row r="85" spans="1:19" ht="12.75" x14ac:dyDescent="0.2">
      <c r="A85" s="1" t="s">
        <v>308</v>
      </c>
      <c r="B85" s="1" t="s">
        <v>308</v>
      </c>
      <c r="C85" s="1">
        <v>1</v>
      </c>
      <c r="D85" s="1">
        <v>0</v>
      </c>
      <c r="E85" s="1" t="s">
        <v>1945</v>
      </c>
      <c r="F85" s="1" t="s">
        <v>2133</v>
      </c>
      <c r="G85" s="1" t="s">
        <v>1945</v>
      </c>
      <c r="H85" s="1" t="str">
        <f t="shared" si="1"/>
        <v>namq_10_gdp_YA1</v>
      </c>
      <c r="I85" s="1" t="s">
        <v>1679</v>
      </c>
      <c r="K85" s="1" t="s">
        <v>1666</v>
      </c>
      <c r="L85" s="1" t="s">
        <v>1681</v>
      </c>
      <c r="M85" s="1" t="s">
        <v>1680</v>
      </c>
      <c r="N85" s="1" t="s">
        <v>1676</v>
      </c>
      <c r="O85" s="1" t="s">
        <v>101</v>
      </c>
      <c r="P85" s="1" t="s">
        <v>1946</v>
      </c>
      <c r="Q85" s="1" t="s">
        <v>713</v>
      </c>
      <c r="R85" s="1" t="s">
        <v>1675</v>
      </c>
      <c r="S85" s="1" t="s">
        <v>1905</v>
      </c>
    </row>
    <row r="86" spans="1:19" ht="12.75" x14ac:dyDescent="0.2">
      <c r="A86" s="1" t="s">
        <v>308</v>
      </c>
      <c r="B86" s="1" t="s">
        <v>308</v>
      </c>
      <c r="C86" s="1">
        <v>1</v>
      </c>
      <c r="D86" s="1">
        <v>0</v>
      </c>
      <c r="E86" s="1" t="s">
        <v>1945</v>
      </c>
      <c r="F86" s="1" t="s">
        <v>2133</v>
      </c>
      <c r="G86" s="1" t="s">
        <v>1945</v>
      </c>
      <c r="H86" s="1" t="str">
        <f t="shared" si="1"/>
        <v>namq_10_gdp_YA2</v>
      </c>
      <c r="I86" s="1" t="s">
        <v>1679</v>
      </c>
      <c r="K86" s="1" t="s">
        <v>1666</v>
      </c>
      <c r="L86" s="1" t="s">
        <v>1678</v>
      </c>
      <c r="M86" s="1" t="s">
        <v>1677</v>
      </c>
      <c r="N86" s="1" t="s">
        <v>1676</v>
      </c>
      <c r="O86" s="1" t="s">
        <v>101</v>
      </c>
      <c r="P86" s="1" t="s">
        <v>1946</v>
      </c>
      <c r="Q86" s="1" t="s">
        <v>713</v>
      </c>
      <c r="R86" s="1" t="s">
        <v>1675</v>
      </c>
      <c r="S86" s="1" t="s">
        <v>1905</v>
      </c>
    </row>
    <row r="87" spans="1:19" ht="12.75" x14ac:dyDescent="0.2">
      <c r="A87" s="1" t="s">
        <v>308</v>
      </c>
      <c r="B87" s="1" t="s">
        <v>308</v>
      </c>
      <c r="C87" s="1">
        <v>1</v>
      </c>
      <c r="D87" s="1">
        <v>3</v>
      </c>
      <c r="E87" s="1" t="s">
        <v>102</v>
      </c>
      <c r="F87" s="1" t="s">
        <v>1668</v>
      </c>
      <c r="G87" s="1" t="s">
        <v>1668</v>
      </c>
      <c r="H87" s="1" t="str">
        <f t="shared" si="1"/>
        <v>namq_10_lp_ulc_NULC_HW</v>
      </c>
      <c r="I87" s="1" t="s">
        <v>1667</v>
      </c>
      <c r="K87" s="1" t="s">
        <v>1666</v>
      </c>
      <c r="L87" s="1" t="s">
        <v>1674</v>
      </c>
      <c r="M87" s="1" t="s">
        <v>1673</v>
      </c>
      <c r="N87" s="1" t="s">
        <v>725</v>
      </c>
      <c r="O87" s="1" t="s">
        <v>101</v>
      </c>
      <c r="P87" s="1" t="s">
        <v>1946</v>
      </c>
      <c r="Q87" s="1" t="s">
        <v>724</v>
      </c>
      <c r="S87" s="1" t="s">
        <v>1905</v>
      </c>
    </row>
    <row r="88" spans="1:19" ht="12.75" x14ac:dyDescent="0.2">
      <c r="A88" s="1" t="s">
        <v>308</v>
      </c>
      <c r="B88" s="1" t="s">
        <v>308</v>
      </c>
      <c r="C88" s="1">
        <v>1</v>
      </c>
      <c r="D88" s="1">
        <v>3</v>
      </c>
      <c r="E88" s="1" t="s">
        <v>102</v>
      </c>
      <c r="F88" s="1" t="s">
        <v>1668</v>
      </c>
      <c r="G88" s="1" t="s">
        <v>1668</v>
      </c>
      <c r="H88" s="1" t="str">
        <f t="shared" si="1"/>
        <v>namq_10_lp_ulc_NULC_PER</v>
      </c>
      <c r="I88" s="1" t="s">
        <v>1667</v>
      </c>
      <c r="K88" s="1" t="s">
        <v>1666</v>
      </c>
      <c r="L88" s="1" t="s">
        <v>1672</v>
      </c>
      <c r="M88" s="1" t="s">
        <v>1671</v>
      </c>
      <c r="N88" s="1" t="s">
        <v>725</v>
      </c>
      <c r="O88" s="1" t="s">
        <v>101</v>
      </c>
      <c r="P88" s="1" t="s">
        <v>1946</v>
      </c>
      <c r="Q88" s="1" t="s">
        <v>724</v>
      </c>
      <c r="S88" s="1" t="s">
        <v>1905</v>
      </c>
    </row>
    <row r="89" spans="1:19" ht="12.75" x14ac:dyDescent="0.2">
      <c r="A89" s="1" t="s">
        <v>308</v>
      </c>
      <c r="B89" s="1" t="s">
        <v>308</v>
      </c>
      <c r="C89" s="1">
        <v>1</v>
      </c>
      <c r="D89" s="1">
        <v>3</v>
      </c>
      <c r="E89" s="1" t="s">
        <v>102</v>
      </c>
      <c r="F89" s="1" t="s">
        <v>1668</v>
      </c>
      <c r="G89" s="1" t="s">
        <v>1668</v>
      </c>
      <c r="H89" s="1" t="str">
        <f t="shared" si="1"/>
        <v>namq_10_lp_ulc_RLPR_HW</v>
      </c>
      <c r="I89" s="1" t="s">
        <v>1667</v>
      </c>
      <c r="K89" s="1" t="s">
        <v>1666</v>
      </c>
      <c r="L89" s="1" t="s">
        <v>1670</v>
      </c>
      <c r="M89" s="1" t="s">
        <v>1669</v>
      </c>
      <c r="N89" s="1" t="s">
        <v>725</v>
      </c>
      <c r="O89" s="1" t="s">
        <v>101</v>
      </c>
      <c r="P89" s="1" t="s">
        <v>1946</v>
      </c>
      <c r="Q89" s="1" t="s">
        <v>724</v>
      </c>
      <c r="S89" s="1" t="s">
        <v>1905</v>
      </c>
    </row>
    <row r="90" spans="1:19" ht="12.75" x14ac:dyDescent="0.2">
      <c r="A90" s="1" t="s">
        <v>308</v>
      </c>
      <c r="B90" s="1" t="s">
        <v>308</v>
      </c>
      <c r="C90" s="1">
        <v>1</v>
      </c>
      <c r="D90" s="1">
        <v>3</v>
      </c>
      <c r="E90" s="1" t="s">
        <v>102</v>
      </c>
      <c r="F90" s="1" t="s">
        <v>1668</v>
      </c>
      <c r="G90" s="1" t="s">
        <v>1668</v>
      </c>
      <c r="H90" s="1" t="str">
        <f t="shared" si="1"/>
        <v>namq_10_lp_ulc_RLPR_PER</v>
      </c>
      <c r="I90" s="1" t="s">
        <v>1667</v>
      </c>
      <c r="K90" s="1" t="s">
        <v>1666</v>
      </c>
      <c r="L90" s="1" t="s">
        <v>1665</v>
      </c>
      <c r="M90" s="1" t="s">
        <v>1664</v>
      </c>
      <c r="N90" s="1" t="s">
        <v>725</v>
      </c>
      <c r="O90" s="1" t="s">
        <v>101</v>
      </c>
      <c r="P90" s="1" t="s">
        <v>1946</v>
      </c>
      <c r="Q90" s="1" t="s">
        <v>724</v>
      </c>
      <c r="S90" s="1" t="s">
        <v>1905</v>
      </c>
    </row>
    <row r="91" spans="1:19" ht="12.75" x14ac:dyDescent="0.2">
      <c r="A91" s="1" t="s">
        <v>308</v>
      </c>
      <c r="B91" s="1" t="s">
        <v>308</v>
      </c>
      <c r="C91" s="1">
        <v>1</v>
      </c>
      <c r="D91" s="1">
        <v>2</v>
      </c>
      <c r="E91" s="1" t="s">
        <v>1944</v>
      </c>
      <c r="F91" s="1" t="s">
        <v>729</v>
      </c>
      <c r="G91" s="1" t="s">
        <v>1959</v>
      </c>
      <c r="H91" s="1" t="str">
        <f t="shared" si="1"/>
        <v>prc_hicp_midx_AP</v>
      </c>
      <c r="I91" s="1" t="s">
        <v>728</v>
      </c>
      <c r="K91" s="1" t="s">
        <v>1940</v>
      </c>
      <c r="L91" s="1" t="s">
        <v>1663</v>
      </c>
      <c r="M91" s="1" t="s">
        <v>1662</v>
      </c>
      <c r="N91" s="1" t="s">
        <v>725</v>
      </c>
      <c r="Q91" s="1" t="s">
        <v>724</v>
      </c>
      <c r="S91" s="1" t="s">
        <v>1905</v>
      </c>
    </row>
    <row r="92" spans="1:19" ht="12.75" x14ac:dyDescent="0.2">
      <c r="A92" s="1" t="s">
        <v>308</v>
      </c>
      <c r="B92" s="1" t="s">
        <v>308</v>
      </c>
      <c r="C92" s="1">
        <v>1</v>
      </c>
      <c r="D92" s="1">
        <v>2</v>
      </c>
      <c r="E92" s="1" t="s">
        <v>1944</v>
      </c>
      <c r="F92" s="1" t="s">
        <v>729</v>
      </c>
      <c r="G92" s="1" t="s">
        <v>1959</v>
      </c>
      <c r="H92" s="1" t="str">
        <f t="shared" si="1"/>
        <v>prc_hicp_midx_AP_NNRG</v>
      </c>
      <c r="I92" s="1" t="s">
        <v>728</v>
      </c>
      <c r="K92" s="1" t="s">
        <v>1940</v>
      </c>
      <c r="L92" s="1" t="s">
        <v>1661</v>
      </c>
      <c r="M92" s="1" t="s">
        <v>1660</v>
      </c>
      <c r="N92" s="1" t="s">
        <v>725</v>
      </c>
      <c r="Q92" s="1" t="s">
        <v>724</v>
      </c>
      <c r="S92" s="1" t="s">
        <v>1905</v>
      </c>
    </row>
    <row r="93" spans="1:19" ht="12.75" x14ac:dyDescent="0.2">
      <c r="A93" s="1" t="s">
        <v>308</v>
      </c>
      <c r="B93" s="1" t="s">
        <v>308</v>
      </c>
      <c r="C93" s="1">
        <v>1</v>
      </c>
      <c r="D93" s="1">
        <v>2</v>
      </c>
      <c r="E93" s="1" t="s">
        <v>1944</v>
      </c>
      <c r="F93" s="1" t="s">
        <v>729</v>
      </c>
      <c r="G93" s="1" t="s">
        <v>1959</v>
      </c>
      <c r="H93" s="1" t="str">
        <f t="shared" si="1"/>
        <v>prc_hicp_midx_AP_NRG</v>
      </c>
      <c r="I93" s="1" t="s">
        <v>728</v>
      </c>
      <c r="K93" s="1" t="s">
        <v>1940</v>
      </c>
      <c r="L93" s="1" t="s">
        <v>1659</v>
      </c>
      <c r="M93" s="1" t="s">
        <v>1658</v>
      </c>
      <c r="N93" s="1" t="s">
        <v>725</v>
      </c>
      <c r="Q93" s="1" t="s">
        <v>724</v>
      </c>
      <c r="S93" s="1" t="s">
        <v>1905</v>
      </c>
    </row>
    <row r="94" spans="1:19" ht="12.75" x14ac:dyDescent="0.2">
      <c r="A94" s="1" t="s">
        <v>308</v>
      </c>
      <c r="B94" s="1" t="s">
        <v>308</v>
      </c>
      <c r="C94" s="1">
        <v>1</v>
      </c>
      <c r="D94" s="1">
        <v>2</v>
      </c>
      <c r="E94" s="1" t="s">
        <v>1944</v>
      </c>
      <c r="F94" s="1" t="s">
        <v>729</v>
      </c>
      <c r="G94" s="1" t="s">
        <v>1959</v>
      </c>
      <c r="H94" s="1" t="str">
        <f t="shared" si="1"/>
        <v>prc_hicp_midx_APF</v>
      </c>
      <c r="I94" s="1" t="s">
        <v>728</v>
      </c>
      <c r="K94" s="1" t="s">
        <v>1940</v>
      </c>
      <c r="L94" s="1" t="s">
        <v>1657</v>
      </c>
      <c r="M94" s="1" t="s">
        <v>1656</v>
      </c>
      <c r="N94" s="1" t="s">
        <v>725</v>
      </c>
      <c r="Q94" s="1" t="s">
        <v>724</v>
      </c>
      <c r="S94" s="1" t="s">
        <v>1905</v>
      </c>
    </row>
    <row r="95" spans="1:19" ht="12.75" x14ac:dyDescent="0.2">
      <c r="A95" s="1" t="s">
        <v>308</v>
      </c>
      <c r="B95" s="1" t="s">
        <v>308</v>
      </c>
      <c r="C95" s="1">
        <v>1</v>
      </c>
      <c r="D95" s="1">
        <v>2</v>
      </c>
      <c r="E95" s="1" t="s">
        <v>1944</v>
      </c>
      <c r="F95" s="1" t="s">
        <v>729</v>
      </c>
      <c r="G95" s="1" t="s">
        <v>1959</v>
      </c>
      <c r="H95" s="1" t="str">
        <f t="shared" si="1"/>
        <v>prc_hicp_midx_APM</v>
      </c>
      <c r="I95" s="1" t="s">
        <v>728</v>
      </c>
      <c r="K95" s="1" t="s">
        <v>1940</v>
      </c>
      <c r="L95" s="1" t="s">
        <v>1655</v>
      </c>
      <c r="M95" s="1" t="s">
        <v>1654</v>
      </c>
      <c r="N95" s="1" t="s">
        <v>725</v>
      </c>
      <c r="Q95" s="1" t="s">
        <v>724</v>
      </c>
      <c r="S95" s="1" t="s">
        <v>1905</v>
      </c>
    </row>
    <row r="96" spans="1:19" ht="12.75" x14ac:dyDescent="0.2">
      <c r="A96" s="1" t="s">
        <v>308</v>
      </c>
      <c r="B96" s="1" t="s">
        <v>308</v>
      </c>
      <c r="C96" s="1">
        <v>1</v>
      </c>
      <c r="D96" s="1">
        <v>2</v>
      </c>
      <c r="E96" s="1" t="s">
        <v>1944</v>
      </c>
      <c r="F96" s="1" t="s">
        <v>729</v>
      </c>
      <c r="G96" s="1" t="s">
        <v>1959</v>
      </c>
      <c r="H96" s="1" t="str">
        <f t="shared" si="1"/>
        <v>prc_hicp_midx_CP00</v>
      </c>
      <c r="I96" s="1" t="s">
        <v>728</v>
      </c>
      <c r="K96" s="1" t="s">
        <v>1940</v>
      </c>
      <c r="L96" s="1" t="s">
        <v>1653</v>
      </c>
      <c r="M96" s="1" t="s">
        <v>1652</v>
      </c>
      <c r="N96" s="1" t="s">
        <v>725</v>
      </c>
      <c r="Q96" s="1" t="s">
        <v>724</v>
      </c>
      <c r="S96" s="1" t="s">
        <v>1905</v>
      </c>
    </row>
    <row r="97" spans="1:19" ht="12.75" x14ac:dyDescent="0.2">
      <c r="A97" s="1" t="s">
        <v>308</v>
      </c>
      <c r="B97" s="1" t="s">
        <v>308</v>
      </c>
      <c r="C97" s="1">
        <v>1</v>
      </c>
      <c r="D97" s="1">
        <v>2</v>
      </c>
      <c r="E97" s="1" t="s">
        <v>1944</v>
      </c>
      <c r="F97" s="1" t="s">
        <v>729</v>
      </c>
      <c r="G97" s="1" t="s">
        <v>1959</v>
      </c>
      <c r="H97" s="1" t="str">
        <f t="shared" si="1"/>
        <v>prc_hicp_midx_CP01</v>
      </c>
      <c r="I97" s="1" t="s">
        <v>728</v>
      </c>
      <c r="K97" s="1" t="s">
        <v>1940</v>
      </c>
      <c r="L97" s="1" t="s">
        <v>1651</v>
      </c>
      <c r="M97" s="1" t="s">
        <v>1650</v>
      </c>
      <c r="N97" s="1" t="s">
        <v>725</v>
      </c>
      <c r="Q97" s="1" t="s">
        <v>724</v>
      </c>
      <c r="S97" s="1" t="s">
        <v>1905</v>
      </c>
    </row>
    <row r="98" spans="1:19" ht="12.75" x14ac:dyDescent="0.2">
      <c r="A98" s="1" t="s">
        <v>308</v>
      </c>
      <c r="B98" s="1" t="s">
        <v>308</v>
      </c>
      <c r="C98" s="1">
        <v>1</v>
      </c>
      <c r="D98" s="1">
        <v>2</v>
      </c>
      <c r="E98" s="1" t="s">
        <v>1944</v>
      </c>
      <c r="F98" s="1" t="s">
        <v>729</v>
      </c>
      <c r="G98" s="1" t="s">
        <v>1959</v>
      </c>
      <c r="H98" s="1" t="str">
        <f t="shared" si="1"/>
        <v>prc_hicp_midx_CP011</v>
      </c>
      <c r="I98" s="1" t="s">
        <v>728</v>
      </c>
      <c r="K98" s="1" t="s">
        <v>1940</v>
      </c>
      <c r="L98" s="1" t="s">
        <v>1649</v>
      </c>
      <c r="M98" s="1" t="s">
        <v>1648</v>
      </c>
      <c r="N98" s="1" t="s">
        <v>725</v>
      </c>
      <c r="Q98" s="1" t="s">
        <v>724</v>
      </c>
      <c r="S98" s="1" t="s">
        <v>1905</v>
      </c>
    </row>
    <row r="99" spans="1:19" ht="12.75" x14ac:dyDescent="0.2">
      <c r="A99" s="1" t="s">
        <v>308</v>
      </c>
      <c r="B99" s="1" t="s">
        <v>308</v>
      </c>
      <c r="C99" s="1">
        <v>1</v>
      </c>
      <c r="D99" s="1">
        <v>2</v>
      </c>
      <c r="E99" s="1" t="s">
        <v>1944</v>
      </c>
      <c r="F99" s="1" t="s">
        <v>729</v>
      </c>
      <c r="G99" s="1" t="s">
        <v>1959</v>
      </c>
      <c r="H99" s="1" t="str">
        <f t="shared" si="1"/>
        <v>prc_hicp_midx_CP0111</v>
      </c>
      <c r="I99" s="1" t="s">
        <v>728</v>
      </c>
      <c r="K99" s="1" t="s">
        <v>1940</v>
      </c>
      <c r="L99" s="1" t="s">
        <v>1647</v>
      </c>
      <c r="M99" s="1" t="s">
        <v>1646</v>
      </c>
      <c r="N99" s="1" t="s">
        <v>725</v>
      </c>
      <c r="Q99" s="1" t="s">
        <v>724</v>
      </c>
      <c r="S99" s="1" t="s">
        <v>1905</v>
      </c>
    </row>
    <row r="100" spans="1:19" ht="12.75" x14ac:dyDescent="0.2">
      <c r="A100" s="1" t="s">
        <v>308</v>
      </c>
      <c r="B100" s="1" t="s">
        <v>308</v>
      </c>
      <c r="C100" s="1">
        <v>1</v>
      </c>
      <c r="D100" s="1">
        <v>2</v>
      </c>
      <c r="E100" s="1" t="s">
        <v>1944</v>
      </c>
      <c r="F100" s="1" t="s">
        <v>729</v>
      </c>
      <c r="G100" s="1" t="s">
        <v>1959</v>
      </c>
      <c r="H100" s="1" t="str">
        <f t="shared" si="1"/>
        <v>prc_hicp_midx_CP01111</v>
      </c>
      <c r="I100" s="1" t="s">
        <v>728</v>
      </c>
      <c r="K100" s="1" t="s">
        <v>1940</v>
      </c>
      <c r="L100" s="1" t="s">
        <v>1645</v>
      </c>
      <c r="M100" s="1" t="s">
        <v>1644</v>
      </c>
      <c r="N100" s="1" t="s">
        <v>725</v>
      </c>
      <c r="Q100" s="1" t="s">
        <v>724</v>
      </c>
      <c r="S100" s="1" t="s">
        <v>1905</v>
      </c>
    </row>
    <row r="101" spans="1:19" ht="12.75" x14ac:dyDescent="0.2">
      <c r="A101" s="1" t="s">
        <v>308</v>
      </c>
      <c r="B101" s="1" t="s">
        <v>308</v>
      </c>
      <c r="C101" s="1">
        <v>1</v>
      </c>
      <c r="D101" s="1">
        <v>2</v>
      </c>
      <c r="E101" s="1" t="s">
        <v>1944</v>
      </c>
      <c r="F101" s="1" t="s">
        <v>729</v>
      </c>
      <c r="G101" s="1" t="s">
        <v>1959</v>
      </c>
      <c r="H101" s="1" t="str">
        <f t="shared" si="1"/>
        <v>prc_hicp_midx_CP01112</v>
      </c>
      <c r="I101" s="1" t="s">
        <v>728</v>
      </c>
      <c r="K101" s="1" t="s">
        <v>1940</v>
      </c>
      <c r="L101" s="1" t="s">
        <v>1643</v>
      </c>
      <c r="M101" s="1" t="s">
        <v>1642</v>
      </c>
      <c r="N101" s="1" t="s">
        <v>725</v>
      </c>
      <c r="Q101" s="1" t="s">
        <v>724</v>
      </c>
      <c r="S101" s="1" t="s">
        <v>1905</v>
      </c>
    </row>
    <row r="102" spans="1:19" ht="12.75" x14ac:dyDescent="0.2">
      <c r="A102" s="1" t="s">
        <v>308</v>
      </c>
      <c r="B102" s="1" t="s">
        <v>308</v>
      </c>
      <c r="C102" s="1">
        <v>1</v>
      </c>
      <c r="D102" s="1">
        <v>2</v>
      </c>
      <c r="E102" s="1" t="s">
        <v>1944</v>
      </c>
      <c r="F102" s="1" t="s">
        <v>729</v>
      </c>
      <c r="G102" s="1" t="s">
        <v>1959</v>
      </c>
      <c r="H102" s="1" t="str">
        <f t="shared" si="1"/>
        <v>prc_hicp_midx_CP01113</v>
      </c>
      <c r="I102" s="1" t="s">
        <v>728</v>
      </c>
      <c r="K102" s="1" t="s">
        <v>1940</v>
      </c>
      <c r="L102" s="1" t="s">
        <v>1641</v>
      </c>
      <c r="M102" s="1" t="s">
        <v>1640</v>
      </c>
      <c r="N102" s="1" t="s">
        <v>725</v>
      </c>
      <c r="Q102" s="1" t="s">
        <v>724</v>
      </c>
      <c r="S102" s="1" t="s">
        <v>1905</v>
      </c>
    </row>
    <row r="103" spans="1:19" ht="12.75" x14ac:dyDescent="0.2">
      <c r="A103" s="1" t="s">
        <v>308</v>
      </c>
      <c r="B103" s="1" t="s">
        <v>308</v>
      </c>
      <c r="C103" s="1">
        <v>1</v>
      </c>
      <c r="D103" s="1">
        <v>2</v>
      </c>
      <c r="E103" s="1" t="s">
        <v>1944</v>
      </c>
      <c r="F103" s="1" t="s">
        <v>729</v>
      </c>
      <c r="G103" s="1" t="s">
        <v>1959</v>
      </c>
      <c r="H103" s="1" t="str">
        <f t="shared" si="1"/>
        <v>prc_hicp_midx_CP01114</v>
      </c>
      <c r="I103" s="1" t="s">
        <v>728</v>
      </c>
      <c r="K103" s="1" t="s">
        <v>1940</v>
      </c>
      <c r="L103" s="1" t="s">
        <v>1639</v>
      </c>
      <c r="M103" s="1" t="s">
        <v>1638</v>
      </c>
      <c r="N103" s="1" t="s">
        <v>725</v>
      </c>
      <c r="Q103" s="1" t="s">
        <v>724</v>
      </c>
      <c r="S103" s="1" t="s">
        <v>1905</v>
      </c>
    </row>
    <row r="104" spans="1:19" ht="12.75" x14ac:dyDescent="0.2">
      <c r="A104" s="1" t="s">
        <v>308</v>
      </c>
      <c r="B104" s="1" t="s">
        <v>308</v>
      </c>
      <c r="C104" s="1">
        <v>1</v>
      </c>
      <c r="D104" s="1">
        <v>2</v>
      </c>
      <c r="E104" s="1" t="s">
        <v>1944</v>
      </c>
      <c r="F104" s="1" t="s">
        <v>729</v>
      </c>
      <c r="G104" s="1" t="s">
        <v>1959</v>
      </c>
      <c r="H104" s="1" t="str">
        <f t="shared" si="1"/>
        <v>prc_hicp_midx_CP01115</v>
      </c>
      <c r="I104" s="1" t="s">
        <v>728</v>
      </c>
      <c r="K104" s="1" t="s">
        <v>1940</v>
      </c>
      <c r="L104" s="1" t="s">
        <v>1637</v>
      </c>
      <c r="M104" s="1" t="s">
        <v>1636</v>
      </c>
      <c r="N104" s="1" t="s">
        <v>725</v>
      </c>
      <c r="Q104" s="1" t="s">
        <v>724</v>
      </c>
      <c r="S104" s="1" t="s">
        <v>1905</v>
      </c>
    </row>
    <row r="105" spans="1:19" ht="12.75" x14ac:dyDescent="0.2">
      <c r="A105" s="1" t="s">
        <v>308</v>
      </c>
      <c r="B105" s="1" t="s">
        <v>308</v>
      </c>
      <c r="C105" s="1">
        <v>1</v>
      </c>
      <c r="D105" s="1">
        <v>2</v>
      </c>
      <c r="E105" s="1" t="s">
        <v>1944</v>
      </c>
      <c r="F105" s="1" t="s">
        <v>729</v>
      </c>
      <c r="G105" s="1" t="s">
        <v>1959</v>
      </c>
      <c r="H105" s="1" t="str">
        <f t="shared" si="1"/>
        <v>prc_hicp_midx_CP01116</v>
      </c>
      <c r="I105" s="1" t="s">
        <v>728</v>
      </c>
      <c r="K105" s="1" t="s">
        <v>1940</v>
      </c>
      <c r="L105" s="1" t="s">
        <v>1635</v>
      </c>
      <c r="M105" s="1" t="s">
        <v>1634</v>
      </c>
      <c r="N105" s="1" t="s">
        <v>725</v>
      </c>
      <c r="Q105" s="1" t="s">
        <v>724</v>
      </c>
      <c r="S105" s="1" t="s">
        <v>1905</v>
      </c>
    </row>
    <row r="106" spans="1:19" ht="12.75" x14ac:dyDescent="0.2">
      <c r="A106" s="1" t="s">
        <v>308</v>
      </c>
      <c r="B106" s="1" t="s">
        <v>308</v>
      </c>
      <c r="C106" s="1">
        <v>1</v>
      </c>
      <c r="D106" s="1">
        <v>2</v>
      </c>
      <c r="E106" s="1" t="s">
        <v>1944</v>
      </c>
      <c r="F106" s="1" t="s">
        <v>729</v>
      </c>
      <c r="G106" s="1" t="s">
        <v>1959</v>
      </c>
      <c r="H106" s="1" t="str">
        <f t="shared" si="1"/>
        <v>prc_hicp_midx_CP01117</v>
      </c>
      <c r="I106" s="1" t="s">
        <v>728</v>
      </c>
      <c r="K106" s="1" t="s">
        <v>1940</v>
      </c>
      <c r="L106" s="1" t="s">
        <v>1633</v>
      </c>
      <c r="M106" s="1" t="s">
        <v>1632</v>
      </c>
      <c r="N106" s="1" t="s">
        <v>725</v>
      </c>
      <c r="Q106" s="1" t="s">
        <v>724</v>
      </c>
      <c r="S106" s="1" t="s">
        <v>1905</v>
      </c>
    </row>
    <row r="107" spans="1:19" ht="12.75" x14ac:dyDescent="0.2">
      <c r="A107" s="1" t="s">
        <v>308</v>
      </c>
      <c r="B107" s="1" t="s">
        <v>308</v>
      </c>
      <c r="C107" s="1">
        <v>1</v>
      </c>
      <c r="D107" s="1">
        <v>2</v>
      </c>
      <c r="E107" s="1" t="s">
        <v>1944</v>
      </c>
      <c r="F107" s="1" t="s">
        <v>729</v>
      </c>
      <c r="G107" s="1" t="s">
        <v>1959</v>
      </c>
      <c r="H107" s="1" t="str">
        <f t="shared" si="1"/>
        <v>prc_hicp_midx_CP01118</v>
      </c>
      <c r="I107" s="1" t="s">
        <v>728</v>
      </c>
      <c r="K107" s="1" t="s">
        <v>1940</v>
      </c>
      <c r="L107" s="1" t="s">
        <v>1631</v>
      </c>
      <c r="M107" s="1" t="s">
        <v>1630</v>
      </c>
      <c r="N107" s="1" t="s">
        <v>725</v>
      </c>
      <c r="Q107" s="1" t="s">
        <v>724</v>
      </c>
      <c r="S107" s="1" t="s">
        <v>1905</v>
      </c>
    </row>
    <row r="108" spans="1:19" ht="12.75" x14ac:dyDescent="0.2">
      <c r="A108" s="1" t="s">
        <v>308</v>
      </c>
      <c r="B108" s="1" t="s">
        <v>308</v>
      </c>
      <c r="C108" s="1">
        <v>1</v>
      </c>
      <c r="D108" s="1">
        <v>2</v>
      </c>
      <c r="E108" s="1" t="s">
        <v>1944</v>
      </c>
      <c r="F108" s="1" t="s">
        <v>729</v>
      </c>
      <c r="G108" s="1" t="s">
        <v>1959</v>
      </c>
      <c r="H108" s="1" t="str">
        <f t="shared" si="1"/>
        <v>prc_hicp_midx_CP0112</v>
      </c>
      <c r="I108" s="1" t="s">
        <v>728</v>
      </c>
      <c r="K108" s="1" t="s">
        <v>1940</v>
      </c>
      <c r="L108" s="1" t="s">
        <v>1629</v>
      </c>
      <c r="M108" s="1" t="s">
        <v>1628</v>
      </c>
      <c r="N108" s="1" t="s">
        <v>725</v>
      </c>
      <c r="Q108" s="1" t="s">
        <v>724</v>
      </c>
      <c r="S108" s="1" t="s">
        <v>1905</v>
      </c>
    </row>
    <row r="109" spans="1:19" ht="12.75" x14ac:dyDescent="0.2">
      <c r="A109" s="1" t="s">
        <v>308</v>
      </c>
      <c r="B109" s="1" t="s">
        <v>308</v>
      </c>
      <c r="C109" s="1">
        <v>1</v>
      </c>
      <c r="D109" s="1">
        <v>2</v>
      </c>
      <c r="E109" s="1" t="s">
        <v>1944</v>
      </c>
      <c r="F109" s="1" t="s">
        <v>729</v>
      </c>
      <c r="G109" s="1" t="s">
        <v>1959</v>
      </c>
      <c r="H109" s="1" t="str">
        <f t="shared" si="1"/>
        <v>prc_hicp_midx_CP01121</v>
      </c>
      <c r="I109" s="1" t="s">
        <v>728</v>
      </c>
      <c r="K109" s="1" t="s">
        <v>1940</v>
      </c>
      <c r="L109" s="1" t="s">
        <v>1627</v>
      </c>
      <c r="M109" s="1" t="s">
        <v>1626</v>
      </c>
      <c r="N109" s="1" t="s">
        <v>725</v>
      </c>
      <c r="Q109" s="1" t="s">
        <v>724</v>
      </c>
      <c r="S109" s="1" t="s">
        <v>1905</v>
      </c>
    </row>
    <row r="110" spans="1:19" ht="12.75" x14ac:dyDescent="0.2">
      <c r="A110" s="1" t="s">
        <v>308</v>
      </c>
      <c r="B110" s="1" t="s">
        <v>308</v>
      </c>
      <c r="C110" s="1">
        <v>1</v>
      </c>
      <c r="D110" s="1">
        <v>2</v>
      </c>
      <c r="E110" s="1" t="s">
        <v>1944</v>
      </c>
      <c r="F110" s="1" t="s">
        <v>729</v>
      </c>
      <c r="G110" s="1" t="s">
        <v>1959</v>
      </c>
      <c r="H110" s="1" t="str">
        <f t="shared" si="1"/>
        <v>prc_hicp_midx_CP01122</v>
      </c>
      <c r="I110" s="1" t="s">
        <v>728</v>
      </c>
      <c r="K110" s="1" t="s">
        <v>1940</v>
      </c>
      <c r="L110" s="1" t="s">
        <v>1625</v>
      </c>
      <c r="M110" s="1" t="s">
        <v>1624</v>
      </c>
      <c r="N110" s="1" t="s">
        <v>725</v>
      </c>
      <c r="Q110" s="1" t="s">
        <v>724</v>
      </c>
      <c r="S110" s="1" t="s">
        <v>1905</v>
      </c>
    </row>
    <row r="111" spans="1:19" ht="12.75" x14ac:dyDescent="0.2">
      <c r="A111" s="1" t="s">
        <v>308</v>
      </c>
      <c r="B111" s="1" t="s">
        <v>308</v>
      </c>
      <c r="C111" s="1">
        <v>1</v>
      </c>
      <c r="D111" s="1">
        <v>2</v>
      </c>
      <c r="E111" s="1" t="s">
        <v>1944</v>
      </c>
      <c r="F111" s="1" t="s">
        <v>729</v>
      </c>
      <c r="G111" s="1" t="s">
        <v>1959</v>
      </c>
      <c r="H111" s="1" t="str">
        <f t="shared" si="1"/>
        <v>prc_hicp_midx_CP01123</v>
      </c>
      <c r="I111" s="1" t="s">
        <v>728</v>
      </c>
      <c r="K111" s="1" t="s">
        <v>1940</v>
      </c>
      <c r="L111" s="1" t="s">
        <v>1623</v>
      </c>
      <c r="M111" s="1" t="s">
        <v>1622</v>
      </c>
      <c r="N111" s="1" t="s">
        <v>725</v>
      </c>
      <c r="Q111" s="1" t="s">
        <v>724</v>
      </c>
      <c r="S111" s="1" t="s">
        <v>1905</v>
      </c>
    </row>
    <row r="112" spans="1:19" ht="12.75" x14ac:dyDescent="0.2">
      <c r="A112" s="1" t="s">
        <v>308</v>
      </c>
      <c r="B112" s="1" t="s">
        <v>308</v>
      </c>
      <c r="C112" s="1">
        <v>1</v>
      </c>
      <c r="D112" s="1">
        <v>2</v>
      </c>
      <c r="E112" s="1" t="s">
        <v>1944</v>
      </c>
      <c r="F112" s="1" t="s">
        <v>729</v>
      </c>
      <c r="G112" s="1" t="s">
        <v>1959</v>
      </c>
      <c r="H112" s="1" t="str">
        <f t="shared" si="1"/>
        <v>prc_hicp_midx_CP01124</v>
      </c>
      <c r="I112" s="1" t="s">
        <v>728</v>
      </c>
      <c r="K112" s="1" t="s">
        <v>1940</v>
      </c>
      <c r="L112" s="1" t="s">
        <v>1621</v>
      </c>
      <c r="M112" s="1" t="s">
        <v>1620</v>
      </c>
      <c r="N112" s="1" t="s">
        <v>725</v>
      </c>
      <c r="Q112" s="1" t="s">
        <v>724</v>
      </c>
      <c r="S112" s="1" t="s">
        <v>1905</v>
      </c>
    </row>
    <row r="113" spans="1:19" ht="12.75" x14ac:dyDescent="0.2">
      <c r="A113" s="1" t="s">
        <v>308</v>
      </c>
      <c r="B113" s="1" t="s">
        <v>308</v>
      </c>
      <c r="C113" s="1">
        <v>1</v>
      </c>
      <c r="D113" s="1">
        <v>2</v>
      </c>
      <c r="E113" s="1" t="s">
        <v>1944</v>
      </c>
      <c r="F113" s="1" t="s">
        <v>729</v>
      </c>
      <c r="G113" s="1" t="s">
        <v>1959</v>
      </c>
      <c r="H113" s="1" t="str">
        <f t="shared" si="1"/>
        <v>prc_hicp_midx_CP01125</v>
      </c>
      <c r="I113" s="1" t="s">
        <v>728</v>
      </c>
      <c r="K113" s="1" t="s">
        <v>1940</v>
      </c>
      <c r="L113" s="1" t="s">
        <v>1619</v>
      </c>
      <c r="M113" s="1" t="s">
        <v>1618</v>
      </c>
      <c r="N113" s="1" t="s">
        <v>725</v>
      </c>
      <c r="Q113" s="1" t="s">
        <v>724</v>
      </c>
      <c r="S113" s="1" t="s">
        <v>1905</v>
      </c>
    </row>
    <row r="114" spans="1:19" ht="12.75" x14ac:dyDescent="0.2">
      <c r="A114" s="1" t="s">
        <v>308</v>
      </c>
      <c r="B114" s="1" t="s">
        <v>308</v>
      </c>
      <c r="C114" s="1">
        <v>1</v>
      </c>
      <c r="D114" s="1">
        <v>2</v>
      </c>
      <c r="E114" s="1" t="s">
        <v>1944</v>
      </c>
      <c r="F114" s="1" t="s">
        <v>729</v>
      </c>
      <c r="G114" s="1" t="s">
        <v>1959</v>
      </c>
      <c r="H114" s="1" t="str">
        <f t="shared" si="1"/>
        <v>prc_hicp_midx_CP01126</v>
      </c>
      <c r="I114" s="1" t="s">
        <v>728</v>
      </c>
      <c r="K114" s="1" t="s">
        <v>1940</v>
      </c>
      <c r="L114" s="1" t="s">
        <v>1617</v>
      </c>
      <c r="M114" s="1" t="s">
        <v>1616</v>
      </c>
      <c r="N114" s="1" t="s">
        <v>725</v>
      </c>
      <c r="Q114" s="1" t="s">
        <v>724</v>
      </c>
      <c r="S114" s="1" t="s">
        <v>1905</v>
      </c>
    </row>
    <row r="115" spans="1:19" ht="12.75" x14ac:dyDescent="0.2">
      <c r="A115" s="1" t="s">
        <v>308</v>
      </c>
      <c r="B115" s="1" t="s">
        <v>308</v>
      </c>
      <c r="C115" s="1">
        <v>1</v>
      </c>
      <c r="D115" s="1">
        <v>2</v>
      </c>
      <c r="E115" s="1" t="s">
        <v>1944</v>
      </c>
      <c r="F115" s="1" t="s">
        <v>729</v>
      </c>
      <c r="G115" s="1" t="s">
        <v>1959</v>
      </c>
      <c r="H115" s="1" t="str">
        <f t="shared" si="1"/>
        <v>prc_hicp_midx_CP01127</v>
      </c>
      <c r="I115" s="1" t="s">
        <v>728</v>
      </c>
      <c r="K115" s="1" t="s">
        <v>1940</v>
      </c>
      <c r="L115" s="1" t="s">
        <v>1615</v>
      </c>
      <c r="M115" s="1" t="s">
        <v>1614</v>
      </c>
      <c r="N115" s="1" t="s">
        <v>725</v>
      </c>
      <c r="Q115" s="1" t="s">
        <v>724</v>
      </c>
      <c r="S115" s="1" t="s">
        <v>1905</v>
      </c>
    </row>
    <row r="116" spans="1:19" ht="12.75" x14ac:dyDescent="0.2">
      <c r="A116" s="1" t="s">
        <v>308</v>
      </c>
      <c r="B116" s="1" t="s">
        <v>308</v>
      </c>
      <c r="C116" s="1">
        <v>1</v>
      </c>
      <c r="D116" s="1">
        <v>2</v>
      </c>
      <c r="E116" s="1" t="s">
        <v>1944</v>
      </c>
      <c r="F116" s="1" t="s">
        <v>729</v>
      </c>
      <c r="G116" s="1" t="s">
        <v>1959</v>
      </c>
      <c r="H116" s="1" t="str">
        <f t="shared" si="1"/>
        <v>prc_hicp_midx_CP01128</v>
      </c>
      <c r="I116" s="1" t="s">
        <v>728</v>
      </c>
      <c r="K116" s="1" t="s">
        <v>1940</v>
      </c>
      <c r="L116" s="1" t="s">
        <v>1613</v>
      </c>
      <c r="M116" s="1" t="s">
        <v>1612</v>
      </c>
      <c r="N116" s="1" t="s">
        <v>725</v>
      </c>
      <c r="Q116" s="1" t="s">
        <v>724</v>
      </c>
      <c r="S116" s="1" t="s">
        <v>1905</v>
      </c>
    </row>
    <row r="117" spans="1:19" ht="12.75" x14ac:dyDescent="0.2">
      <c r="A117" s="1" t="s">
        <v>308</v>
      </c>
      <c r="B117" s="1" t="s">
        <v>308</v>
      </c>
      <c r="C117" s="1">
        <v>1</v>
      </c>
      <c r="D117" s="1">
        <v>2</v>
      </c>
      <c r="E117" s="1" t="s">
        <v>1944</v>
      </c>
      <c r="F117" s="1" t="s">
        <v>729</v>
      </c>
      <c r="G117" s="1" t="s">
        <v>1959</v>
      </c>
      <c r="H117" s="1" t="str">
        <f t="shared" si="1"/>
        <v>prc_hicp_midx_CP0113</v>
      </c>
      <c r="I117" s="1" t="s">
        <v>728</v>
      </c>
      <c r="K117" s="1" t="s">
        <v>1940</v>
      </c>
      <c r="L117" s="1" t="s">
        <v>1611</v>
      </c>
      <c r="M117" s="1" t="s">
        <v>1610</v>
      </c>
      <c r="N117" s="1" t="s">
        <v>725</v>
      </c>
      <c r="Q117" s="1" t="s">
        <v>724</v>
      </c>
      <c r="S117" s="1" t="s">
        <v>1905</v>
      </c>
    </row>
    <row r="118" spans="1:19" ht="12.75" x14ac:dyDescent="0.2">
      <c r="A118" s="1" t="s">
        <v>308</v>
      </c>
      <c r="B118" s="1" t="s">
        <v>308</v>
      </c>
      <c r="C118" s="1">
        <v>1</v>
      </c>
      <c r="D118" s="1">
        <v>2</v>
      </c>
      <c r="E118" s="1" t="s">
        <v>1944</v>
      </c>
      <c r="F118" s="1" t="s">
        <v>729</v>
      </c>
      <c r="G118" s="1" t="s">
        <v>1959</v>
      </c>
      <c r="H118" s="1" t="str">
        <f t="shared" si="1"/>
        <v>prc_hicp_midx_CP01131</v>
      </c>
      <c r="I118" s="1" t="s">
        <v>728</v>
      </c>
      <c r="K118" s="1" t="s">
        <v>1940</v>
      </c>
      <c r="L118" s="1" t="s">
        <v>1609</v>
      </c>
      <c r="M118" s="1" t="s">
        <v>1608</v>
      </c>
      <c r="N118" s="1" t="s">
        <v>725</v>
      </c>
      <c r="Q118" s="1" t="s">
        <v>724</v>
      </c>
      <c r="S118" s="1" t="s">
        <v>1905</v>
      </c>
    </row>
    <row r="119" spans="1:19" ht="12.75" x14ac:dyDescent="0.2">
      <c r="A119" s="1" t="s">
        <v>308</v>
      </c>
      <c r="B119" s="1" t="s">
        <v>308</v>
      </c>
      <c r="C119" s="1">
        <v>1</v>
      </c>
      <c r="D119" s="1">
        <v>2</v>
      </c>
      <c r="E119" s="1" t="s">
        <v>1944</v>
      </c>
      <c r="F119" s="1" t="s">
        <v>729</v>
      </c>
      <c r="G119" s="1" t="s">
        <v>1959</v>
      </c>
      <c r="H119" s="1" t="str">
        <f t="shared" si="1"/>
        <v>prc_hicp_midx_CP01132</v>
      </c>
      <c r="I119" s="1" t="s">
        <v>728</v>
      </c>
      <c r="K119" s="1" t="s">
        <v>1940</v>
      </c>
      <c r="L119" s="1" t="s">
        <v>1607</v>
      </c>
      <c r="M119" s="1" t="s">
        <v>1606</v>
      </c>
      <c r="N119" s="1" t="s">
        <v>725</v>
      </c>
      <c r="Q119" s="1" t="s">
        <v>724</v>
      </c>
      <c r="S119" s="1" t="s">
        <v>1905</v>
      </c>
    </row>
    <row r="120" spans="1:19" ht="12.75" x14ac:dyDescent="0.2">
      <c r="A120" s="1" t="s">
        <v>308</v>
      </c>
      <c r="B120" s="1" t="s">
        <v>308</v>
      </c>
      <c r="C120" s="1">
        <v>1</v>
      </c>
      <c r="D120" s="1">
        <v>2</v>
      </c>
      <c r="E120" s="1" t="s">
        <v>1944</v>
      </c>
      <c r="F120" s="1" t="s">
        <v>729</v>
      </c>
      <c r="G120" s="1" t="s">
        <v>1959</v>
      </c>
      <c r="H120" s="1" t="str">
        <f t="shared" si="1"/>
        <v>prc_hicp_midx_CP01133</v>
      </c>
      <c r="I120" s="1" t="s">
        <v>728</v>
      </c>
      <c r="K120" s="1" t="s">
        <v>1940</v>
      </c>
      <c r="L120" s="1" t="s">
        <v>1605</v>
      </c>
      <c r="M120" s="1" t="s">
        <v>1604</v>
      </c>
      <c r="N120" s="1" t="s">
        <v>725</v>
      </c>
      <c r="Q120" s="1" t="s">
        <v>724</v>
      </c>
      <c r="S120" s="1" t="s">
        <v>1905</v>
      </c>
    </row>
    <row r="121" spans="1:19" ht="12.75" x14ac:dyDescent="0.2">
      <c r="A121" s="1" t="s">
        <v>308</v>
      </c>
      <c r="B121" s="1" t="s">
        <v>308</v>
      </c>
      <c r="C121" s="1">
        <v>1</v>
      </c>
      <c r="D121" s="1">
        <v>2</v>
      </c>
      <c r="E121" s="1" t="s">
        <v>1944</v>
      </c>
      <c r="F121" s="1" t="s">
        <v>729</v>
      </c>
      <c r="G121" s="1" t="s">
        <v>1959</v>
      </c>
      <c r="H121" s="1" t="str">
        <f t="shared" si="1"/>
        <v>prc_hicp_midx_CP01134</v>
      </c>
      <c r="I121" s="1" t="s">
        <v>728</v>
      </c>
      <c r="K121" s="1" t="s">
        <v>1940</v>
      </c>
      <c r="L121" s="1" t="s">
        <v>1603</v>
      </c>
      <c r="M121" s="1" t="s">
        <v>1602</v>
      </c>
      <c r="N121" s="1" t="s">
        <v>725</v>
      </c>
      <c r="Q121" s="1" t="s">
        <v>724</v>
      </c>
      <c r="S121" s="1" t="s">
        <v>1905</v>
      </c>
    </row>
    <row r="122" spans="1:19" ht="12.75" x14ac:dyDescent="0.2">
      <c r="A122" s="1" t="s">
        <v>308</v>
      </c>
      <c r="B122" s="1" t="s">
        <v>308</v>
      </c>
      <c r="C122" s="1">
        <v>1</v>
      </c>
      <c r="D122" s="1">
        <v>2</v>
      </c>
      <c r="E122" s="1" t="s">
        <v>1944</v>
      </c>
      <c r="F122" s="1" t="s">
        <v>729</v>
      </c>
      <c r="G122" s="1" t="s">
        <v>1959</v>
      </c>
      <c r="H122" s="1" t="str">
        <f t="shared" si="1"/>
        <v>prc_hicp_midx_CP01135</v>
      </c>
      <c r="I122" s="1" t="s">
        <v>728</v>
      </c>
      <c r="K122" s="1" t="s">
        <v>1940</v>
      </c>
      <c r="L122" s="1" t="s">
        <v>1601</v>
      </c>
      <c r="M122" s="1" t="s">
        <v>1600</v>
      </c>
      <c r="N122" s="1" t="s">
        <v>725</v>
      </c>
      <c r="Q122" s="1" t="s">
        <v>724</v>
      </c>
      <c r="S122" s="1" t="s">
        <v>1905</v>
      </c>
    </row>
    <row r="123" spans="1:19" ht="12.75" x14ac:dyDescent="0.2">
      <c r="A123" s="1" t="s">
        <v>308</v>
      </c>
      <c r="B123" s="1" t="s">
        <v>308</v>
      </c>
      <c r="C123" s="1">
        <v>1</v>
      </c>
      <c r="D123" s="1">
        <v>2</v>
      </c>
      <c r="E123" s="1" t="s">
        <v>1944</v>
      </c>
      <c r="F123" s="1" t="s">
        <v>729</v>
      </c>
      <c r="G123" s="1" t="s">
        <v>1959</v>
      </c>
      <c r="H123" s="1" t="str">
        <f t="shared" si="1"/>
        <v>prc_hicp_midx_CP01136</v>
      </c>
      <c r="I123" s="1" t="s">
        <v>728</v>
      </c>
      <c r="K123" s="1" t="s">
        <v>1940</v>
      </c>
      <c r="L123" s="1" t="s">
        <v>1599</v>
      </c>
      <c r="M123" s="1" t="s">
        <v>1598</v>
      </c>
      <c r="N123" s="1" t="s">
        <v>725</v>
      </c>
      <c r="Q123" s="1" t="s">
        <v>724</v>
      </c>
      <c r="S123" s="1" t="s">
        <v>1905</v>
      </c>
    </row>
    <row r="124" spans="1:19" ht="12.75" x14ac:dyDescent="0.2">
      <c r="A124" s="1" t="s">
        <v>308</v>
      </c>
      <c r="B124" s="1" t="s">
        <v>308</v>
      </c>
      <c r="C124" s="1">
        <v>1</v>
      </c>
      <c r="D124" s="1">
        <v>2</v>
      </c>
      <c r="E124" s="1" t="s">
        <v>1944</v>
      </c>
      <c r="F124" s="1" t="s">
        <v>729</v>
      </c>
      <c r="G124" s="1" t="s">
        <v>1959</v>
      </c>
      <c r="H124" s="1" t="str">
        <f t="shared" si="1"/>
        <v>prc_hicp_midx_CP0114</v>
      </c>
      <c r="I124" s="1" t="s">
        <v>728</v>
      </c>
      <c r="K124" s="1" t="s">
        <v>1940</v>
      </c>
      <c r="L124" s="1" t="s">
        <v>1597</v>
      </c>
      <c r="M124" s="1" t="s">
        <v>1596</v>
      </c>
      <c r="N124" s="1" t="s">
        <v>725</v>
      </c>
      <c r="Q124" s="1" t="s">
        <v>724</v>
      </c>
      <c r="S124" s="1" t="s">
        <v>1905</v>
      </c>
    </row>
    <row r="125" spans="1:19" ht="12.75" x14ac:dyDescent="0.2">
      <c r="A125" s="1" t="s">
        <v>308</v>
      </c>
      <c r="B125" s="1" t="s">
        <v>308</v>
      </c>
      <c r="C125" s="1">
        <v>1</v>
      </c>
      <c r="D125" s="1">
        <v>2</v>
      </c>
      <c r="E125" s="1" t="s">
        <v>1944</v>
      </c>
      <c r="F125" s="1" t="s">
        <v>729</v>
      </c>
      <c r="G125" s="1" t="s">
        <v>1959</v>
      </c>
      <c r="H125" s="1" t="str">
        <f t="shared" si="1"/>
        <v>prc_hicp_midx_CP01141</v>
      </c>
      <c r="I125" s="1" t="s">
        <v>728</v>
      </c>
      <c r="K125" s="1" t="s">
        <v>1940</v>
      </c>
      <c r="L125" s="1" t="s">
        <v>1595</v>
      </c>
      <c r="M125" s="1" t="s">
        <v>1594</v>
      </c>
      <c r="N125" s="1" t="s">
        <v>725</v>
      </c>
      <c r="Q125" s="1" t="s">
        <v>724</v>
      </c>
      <c r="S125" s="1" t="s">
        <v>1905</v>
      </c>
    </row>
    <row r="126" spans="1:19" ht="12.75" x14ac:dyDescent="0.2">
      <c r="A126" s="1" t="s">
        <v>308</v>
      </c>
      <c r="B126" s="1" t="s">
        <v>308</v>
      </c>
      <c r="C126" s="1">
        <v>1</v>
      </c>
      <c r="D126" s="1">
        <v>2</v>
      </c>
      <c r="E126" s="1" t="s">
        <v>1944</v>
      </c>
      <c r="F126" s="1" t="s">
        <v>729</v>
      </c>
      <c r="G126" s="1" t="s">
        <v>1959</v>
      </c>
      <c r="H126" s="1" t="str">
        <f t="shared" si="1"/>
        <v>prc_hicp_midx_CP01142</v>
      </c>
      <c r="I126" s="1" t="s">
        <v>728</v>
      </c>
      <c r="K126" s="1" t="s">
        <v>1940</v>
      </c>
      <c r="L126" s="1" t="s">
        <v>1593</v>
      </c>
      <c r="M126" s="1" t="s">
        <v>1592</v>
      </c>
      <c r="N126" s="1" t="s">
        <v>725</v>
      </c>
      <c r="Q126" s="1" t="s">
        <v>724</v>
      </c>
      <c r="S126" s="1" t="s">
        <v>1905</v>
      </c>
    </row>
    <row r="127" spans="1:19" ht="12.75" x14ac:dyDescent="0.2">
      <c r="A127" s="1" t="s">
        <v>308</v>
      </c>
      <c r="B127" s="1" t="s">
        <v>308</v>
      </c>
      <c r="C127" s="1">
        <v>1</v>
      </c>
      <c r="D127" s="1">
        <v>2</v>
      </c>
      <c r="E127" s="1" t="s">
        <v>1944</v>
      </c>
      <c r="F127" s="1" t="s">
        <v>729</v>
      </c>
      <c r="G127" s="1" t="s">
        <v>1959</v>
      </c>
      <c r="H127" s="1" t="str">
        <f t="shared" si="1"/>
        <v>prc_hicp_midx_CP01143</v>
      </c>
      <c r="I127" s="1" t="s">
        <v>728</v>
      </c>
      <c r="K127" s="1" t="s">
        <v>1940</v>
      </c>
      <c r="L127" s="1" t="s">
        <v>1591</v>
      </c>
      <c r="M127" s="1" t="s">
        <v>1590</v>
      </c>
      <c r="N127" s="1" t="s">
        <v>725</v>
      </c>
      <c r="Q127" s="1" t="s">
        <v>724</v>
      </c>
      <c r="S127" s="1" t="s">
        <v>1905</v>
      </c>
    </row>
    <row r="128" spans="1:19" ht="12.75" x14ac:dyDescent="0.2">
      <c r="A128" s="1" t="s">
        <v>308</v>
      </c>
      <c r="B128" s="1" t="s">
        <v>308</v>
      </c>
      <c r="C128" s="1">
        <v>1</v>
      </c>
      <c r="D128" s="1">
        <v>2</v>
      </c>
      <c r="E128" s="1" t="s">
        <v>1944</v>
      </c>
      <c r="F128" s="1" t="s">
        <v>729</v>
      </c>
      <c r="G128" s="1" t="s">
        <v>1959</v>
      </c>
      <c r="H128" s="1" t="str">
        <f t="shared" si="1"/>
        <v>prc_hicp_midx_CP01144</v>
      </c>
      <c r="I128" s="1" t="s">
        <v>728</v>
      </c>
      <c r="K128" s="1" t="s">
        <v>1940</v>
      </c>
      <c r="L128" s="1" t="s">
        <v>1589</v>
      </c>
      <c r="M128" s="1" t="s">
        <v>1588</v>
      </c>
      <c r="N128" s="1" t="s">
        <v>725</v>
      </c>
      <c r="Q128" s="1" t="s">
        <v>724</v>
      </c>
      <c r="S128" s="1" t="s">
        <v>1905</v>
      </c>
    </row>
    <row r="129" spans="1:19" ht="12.75" x14ac:dyDescent="0.2">
      <c r="A129" s="1" t="s">
        <v>308</v>
      </c>
      <c r="B129" s="1" t="s">
        <v>308</v>
      </c>
      <c r="C129" s="1">
        <v>1</v>
      </c>
      <c r="D129" s="1">
        <v>2</v>
      </c>
      <c r="E129" s="1" t="s">
        <v>1944</v>
      </c>
      <c r="F129" s="1" t="s">
        <v>729</v>
      </c>
      <c r="G129" s="1" t="s">
        <v>1959</v>
      </c>
      <c r="H129" s="1" t="str">
        <f t="shared" si="1"/>
        <v>prc_hicp_midx_CP01145</v>
      </c>
      <c r="I129" s="1" t="s">
        <v>728</v>
      </c>
      <c r="K129" s="1" t="s">
        <v>1940</v>
      </c>
      <c r="L129" s="1" t="s">
        <v>1587</v>
      </c>
      <c r="M129" s="1" t="s">
        <v>1586</v>
      </c>
      <c r="N129" s="1" t="s">
        <v>725</v>
      </c>
      <c r="Q129" s="1" t="s">
        <v>724</v>
      </c>
      <c r="S129" s="1" t="s">
        <v>1905</v>
      </c>
    </row>
    <row r="130" spans="1:19" ht="12.75" x14ac:dyDescent="0.2">
      <c r="A130" s="1" t="s">
        <v>308</v>
      </c>
      <c r="B130" s="1" t="s">
        <v>308</v>
      </c>
      <c r="C130" s="1">
        <v>1</v>
      </c>
      <c r="D130" s="1">
        <v>2</v>
      </c>
      <c r="E130" s="1" t="s">
        <v>1944</v>
      </c>
      <c r="F130" s="1" t="s">
        <v>729</v>
      </c>
      <c r="G130" s="1" t="s">
        <v>1959</v>
      </c>
      <c r="H130" s="1" t="str">
        <f t="shared" si="1"/>
        <v>prc_hicp_midx_CP01146</v>
      </c>
      <c r="I130" s="1" t="s">
        <v>728</v>
      </c>
      <c r="K130" s="1" t="s">
        <v>1940</v>
      </c>
      <c r="L130" s="1" t="s">
        <v>1585</v>
      </c>
      <c r="M130" s="1" t="s">
        <v>1584</v>
      </c>
      <c r="N130" s="1" t="s">
        <v>725</v>
      </c>
      <c r="Q130" s="1" t="s">
        <v>724</v>
      </c>
      <c r="S130" s="1" t="s">
        <v>1905</v>
      </c>
    </row>
    <row r="131" spans="1:19" ht="12.75" x14ac:dyDescent="0.2">
      <c r="A131" s="1" t="s">
        <v>308</v>
      </c>
      <c r="B131" s="1" t="s">
        <v>308</v>
      </c>
      <c r="C131" s="1">
        <v>1</v>
      </c>
      <c r="D131" s="1">
        <v>2</v>
      </c>
      <c r="E131" s="1" t="s">
        <v>1944</v>
      </c>
      <c r="F131" s="1" t="s">
        <v>729</v>
      </c>
      <c r="G131" s="1" t="s">
        <v>1959</v>
      </c>
      <c r="H131" s="1" t="str">
        <f t="shared" ref="H131:H194" si="2">+I131&amp;"_"&amp;L131</f>
        <v>prc_hicp_midx_CP01147</v>
      </c>
      <c r="I131" s="1" t="s">
        <v>728</v>
      </c>
      <c r="K131" s="1" t="s">
        <v>1940</v>
      </c>
      <c r="L131" s="1" t="s">
        <v>1583</v>
      </c>
      <c r="M131" s="1" t="s">
        <v>1582</v>
      </c>
      <c r="N131" s="1" t="s">
        <v>725</v>
      </c>
      <c r="Q131" s="1" t="s">
        <v>724</v>
      </c>
      <c r="S131" s="1" t="s">
        <v>1905</v>
      </c>
    </row>
    <row r="132" spans="1:19" ht="12.75" x14ac:dyDescent="0.2">
      <c r="A132" s="1" t="s">
        <v>308</v>
      </c>
      <c r="B132" s="1" t="s">
        <v>308</v>
      </c>
      <c r="C132" s="1">
        <v>1</v>
      </c>
      <c r="D132" s="1">
        <v>2</v>
      </c>
      <c r="E132" s="1" t="s">
        <v>1944</v>
      </c>
      <c r="F132" s="1" t="s">
        <v>729</v>
      </c>
      <c r="G132" s="1" t="s">
        <v>1959</v>
      </c>
      <c r="H132" s="1" t="str">
        <f t="shared" si="2"/>
        <v>prc_hicp_midx_CP0115</v>
      </c>
      <c r="I132" s="1" t="s">
        <v>728</v>
      </c>
      <c r="K132" s="1" t="s">
        <v>1940</v>
      </c>
      <c r="L132" s="1" t="s">
        <v>1581</v>
      </c>
      <c r="M132" s="1" t="s">
        <v>1580</v>
      </c>
      <c r="N132" s="1" t="s">
        <v>725</v>
      </c>
      <c r="Q132" s="1" t="s">
        <v>724</v>
      </c>
      <c r="S132" s="1" t="s">
        <v>1905</v>
      </c>
    </row>
    <row r="133" spans="1:19" ht="12.75" x14ac:dyDescent="0.2">
      <c r="A133" s="1" t="s">
        <v>308</v>
      </c>
      <c r="B133" s="1" t="s">
        <v>308</v>
      </c>
      <c r="C133" s="1">
        <v>1</v>
      </c>
      <c r="D133" s="1">
        <v>2</v>
      </c>
      <c r="E133" s="1" t="s">
        <v>1944</v>
      </c>
      <c r="F133" s="1" t="s">
        <v>729</v>
      </c>
      <c r="G133" s="1" t="s">
        <v>1959</v>
      </c>
      <c r="H133" s="1" t="str">
        <f t="shared" si="2"/>
        <v>prc_hicp_midx_CP01151</v>
      </c>
      <c r="I133" s="1" t="s">
        <v>728</v>
      </c>
      <c r="K133" s="1" t="s">
        <v>1940</v>
      </c>
      <c r="L133" s="1" t="s">
        <v>1579</v>
      </c>
      <c r="M133" s="1" t="s">
        <v>1578</v>
      </c>
      <c r="N133" s="1" t="s">
        <v>725</v>
      </c>
      <c r="Q133" s="1" t="s">
        <v>724</v>
      </c>
      <c r="S133" s="1" t="s">
        <v>1905</v>
      </c>
    </row>
    <row r="134" spans="1:19" ht="12.75" x14ac:dyDescent="0.2">
      <c r="A134" s="1" t="s">
        <v>308</v>
      </c>
      <c r="B134" s="1" t="s">
        <v>308</v>
      </c>
      <c r="C134" s="1">
        <v>1</v>
      </c>
      <c r="D134" s="1">
        <v>2</v>
      </c>
      <c r="E134" s="1" t="s">
        <v>1944</v>
      </c>
      <c r="F134" s="1" t="s">
        <v>729</v>
      </c>
      <c r="G134" s="1" t="s">
        <v>1959</v>
      </c>
      <c r="H134" s="1" t="str">
        <f t="shared" si="2"/>
        <v>prc_hicp_midx_CP01152</v>
      </c>
      <c r="I134" s="1" t="s">
        <v>728</v>
      </c>
      <c r="K134" s="1" t="s">
        <v>1940</v>
      </c>
      <c r="L134" s="1" t="s">
        <v>1577</v>
      </c>
      <c r="M134" s="1" t="s">
        <v>1576</v>
      </c>
      <c r="N134" s="1" t="s">
        <v>725</v>
      </c>
      <c r="Q134" s="1" t="s">
        <v>724</v>
      </c>
      <c r="S134" s="1" t="s">
        <v>1905</v>
      </c>
    </row>
    <row r="135" spans="1:19" ht="12.75" x14ac:dyDescent="0.2">
      <c r="A135" s="1" t="s">
        <v>308</v>
      </c>
      <c r="B135" s="1" t="s">
        <v>308</v>
      </c>
      <c r="C135" s="1">
        <v>1</v>
      </c>
      <c r="D135" s="1">
        <v>2</v>
      </c>
      <c r="E135" s="1" t="s">
        <v>1944</v>
      </c>
      <c r="F135" s="1" t="s">
        <v>729</v>
      </c>
      <c r="G135" s="1" t="s">
        <v>1959</v>
      </c>
      <c r="H135" s="1" t="str">
        <f t="shared" si="2"/>
        <v>prc_hicp_midx_CP01153</v>
      </c>
      <c r="I135" s="1" t="s">
        <v>728</v>
      </c>
      <c r="K135" s="1" t="s">
        <v>1940</v>
      </c>
      <c r="L135" s="1" t="s">
        <v>1575</v>
      </c>
      <c r="M135" s="1" t="s">
        <v>1574</v>
      </c>
      <c r="N135" s="1" t="s">
        <v>725</v>
      </c>
      <c r="Q135" s="1" t="s">
        <v>724</v>
      </c>
      <c r="S135" s="1" t="s">
        <v>1905</v>
      </c>
    </row>
    <row r="136" spans="1:19" ht="12.75" x14ac:dyDescent="0.2">
      <c r="A136" s="1" t="s">
        <v>308</v>
      </c>
      <c r="B136" s="1" t="s">
        <v>308</v>
      </c>
      <c r="C136" s="1">
        <v>1</v>
      </c>
      <c r="D136" s="1">
        <v>2</v>
      </c>
      <c r="E136" s="1" t="s">
        <v>1944</v>
      </c>
      <c r="F136" s="1" t="s">
        <v>729</v>
      </c>
      <c r="G136" s="1" t="s">
        <v>1959</v>
      </c>
      <c r="H136" s="1" t="str">
        <f t="shared" si="2"/>
        <v>prc_hicp_midx_CP01154</v>
      </c>
      <c r="I136" s="1" t="s">
        <v>728</v>
      </c>
      <c r="K136" s="1" t="s">
        <v>1940</v>
      </c>
      <c r="L136" s="1" t="s">
        <v>1573</v>
      </c>
      <c r="M136" s="1" t="s">
        <v>1572</v>
      </c>
      <c r="N136" s="1" t="s">
        <v>725</v>
      </c>
      <c r="Q136" s="1" t="s">
        <v>724</v>
      </c>
      <c r="S136" s="1" t="s">
        <v>1905</v>
      </c>
    </row>
    <row r="137" spans="1:19" ht="12.75" x14ac:dyDescent="0.2">
      <c r="A137" s="1" t="s">
        <v>308</v>
      </c>
      <c r="B137" s="1" t="s">
        <v>308</v>
      </c>
      <c r="C137" s="1">
        <v>1</v>
      </c>
      <c r="D137" s="1">
        <v>2</v>
      </c>
      <c r="E137" s="1" t="s">
        <v>1944</v>
      </c>
      <c r="F137" s="1" t="s">
        <v>729</v>
      </c>
      <c r="G137" s="1" t="s">
        <v>1959</v>
      </c>
      <c r="H137" s="1" t="str">
        <f t="shared" si="2"/>
        <v>prc_hicp_midx_CP01155</v>
      </c>
      <c r="I137" s="1" t="s">
        <v>728</v>
      </c>
      <c r="K137" s="1" t="s">
        <v>1940</v>
      </c>
      <c r="L137" s="1" t="s">
        <v>1571</v>
      </c>
      <c r="M137" s="1" t="s">
        <v>1570</v>
      </c>
      <c r="N137" s="1" t="s">
        <v>725</v>
      </c>
      <c r="Q137" s="1" t="s">
        <v>724</v>
      </c>
      <c r="S137" s="1" t="s">
        <v>1905</v>
      </c>
    </row>
    <row r="138" spans="1:19" ht="12.75" x14ac:dyDescent="0.2">
      <c r="A138" s="1" t="s">
        <v>308</v>
      </c>
      <c r="B138" s="1" t="s">
        <v>308</v>
      </c>
      <c r="C138" s="1">
        <v>1</v>
      </c>
      <c r="D138" s="1">
        <v>2</v>
      </c>
      <c r="E138" s="1" t="s">
        <v>1944</v>
      </c>
      <c r="F138" s="1" t="s">
        <v>729</v>
      </c>
      <c r="G138" s="1" t="s">
        <v>1959</v>
      </c>
      <c r="H138" s="1" t="str">
        <f t="shared" si="2"/>
        <v>prc_hicp_midx_CP0116</v>
      </c>
      <c r="I138" s="1" t="s">
        <v>728</v>
      </c>
      <c r="K138" s="1" t="s">
        <v>1940</v>
      </c>
      <c r="L138" s="1" t="s">
        <v>1569</v>
      </c>
      <c r="M138" s="1" t="s">
        <v>1568</v>
      </c>
      <c r="N138" s="1" t="s">
        <v>725</v>
      </c>
      <c r="Q138" s="1" t="s">
        <v>724</v>
      </c>
      <c r="S138" s="1" t="s">
        <v>1905</v>
      </c>
    </row>
    <row r="139" spans="1:19" ht="12.75" x14ac:dyDescent="0.2">
      <c r="A139" s="1" t="s">
        <v>308</v>
      </c>
      <c r="B139" s="1" t="s">
        <v>308</v>
      </c>
      <c r="C139" s="1">
        <v>1</v>
      </c>
      <c r="D139" s="1">
        <v>2</v>
      </c>
      <c r="E139" s="1" t="s">
        <v>1944</v>
      </c>
      <c r="F139" s="1" t="s">
        <v>729</v>
      </c>
      <c r="G139" s="1" t="s">
        <v>1959</v>
      </c>
      <c r="H139" s="1" t="str">
        <f t="shared" si="2"/>
        <v>prc_hicp_midx_CP01161</v>
      </c>
      <c r="I139" s="1" t="s">
        <v>728</v>
      </c>
      <c r="K139" s="1" t="s">
        <v>1940</v>
      </c>
      <c r="L139" s="1" t="s">
        <v>1567</v>
      </c>
      <c r="M139" s="1" t="s">
        <v>1566</v>
      </c>
      <c r="N139" s="1" t="s">
        <v>725</v>
      </c>
      <c r="Q139" s="1" t="s">
        <v>724</v>
      </c>
      <c r="S139" s="1" t="s">
        <v>1905</v>
      </c>
    </row>
    <row r="140" spans="1:19" ht="12.75" x14ac:dyDescent="0.2">
      <c r="A140" s="1" t="s">
        <v>308</v>
      </c>
      <c r="B140" s="1" t="s">
        <v>308</v>
      </c>
      <c r="C140" s="1">
        <v>1</v>
      </c>
      <c r="D140" s="1">
        <v>2</v>
      </c>
      <c r="E140" s="1" t="s">
        <v>1944</v>
      </c>
      <c r="F140" s="1" t="s">
        <v>729</v>
      </c>
      <c r="G140" s="1" t="s">
        <v>1959</v>
      </c>
      <c r="H140" s="1" t="str">
        <f t="shared" si="2"/>
        <v>prc_hicp_midx_CP01162</v>
      </c>
      <c r="I140" s="1" t="s">
        <v>728</v>
      </c>
      <c r="K140" s="1" t="s">
        <v>1940</v>
      </c>
      <c r="L140" s="1" t="s">
        <v>1565</v>
      </c>
      <c r="M140" s="1" t="s">
        <v>1564</v>
      </c>
      <c r="N140" s="1" t="s">
        <v>725</v>
      </c>
      <c r="Q140" s="1" t="s">
        <v>724</v>
      </c>
      <c r="S140" s="1" t="s">
        <v>1905</v>
      </c>
    </row>
    <row r="141" spans="1:19" ht="12.75" x14ac:dyDescent="0.2">
      <c r="A141" s="1" t="s">
        <v>308</v>
      </c>
      <c r="B141" s="1" t="s">
        <v>308</v>
      </c>
      <c r="C141" s="1">
        <v>1</v>
      </c>
      <c r="D141" s="1">
        <v>2</v>
      </c>
      <c r="E141" s="1" t="s">
        <v>1944</v>
      </c>
      <c r="F141" s="1" t="s">
        <v>729</v>
      </c>
      <c r="G141" s="1" t="s">
        <v>1959</v>
      </c>
      <c r="H141" s="1" t="str">
        <f t="shared" si="2"/>
        <v>prc_hicp_midx_CP01163</v>
      </c>
      <c r="I141" s="1" t="s">
        <v>728</v>
      </c>
      <c r="K141" s="1" t="s">
        <v>1940</v>
      </c>
      <c r="L141" s="1" t="s">
        <v>1563</v>
      </c>
      <c r="M141" s="1" t="s">
        <v>1562</v>
      </c>
      <c r="N141" s="1" t="s">
        <v>725</v>
      </c>
      <c r="Q141" s="1" t="s">
        <v>724</v>
      </c>
      <c r="S141" s="1" t="s">
        <v>1905</v>
      </c>
    </row>
    <row r="142" spans="1:19" ht="12.75" x14ac:dyDescent="0.2">
      <c r="A142" s="1" t="s">
        <v>308</v>
      </c>
      <c r="B142" s="1" t="s">
        <v>308</v>
      </c>
      <c r="C142" s="1">
        <v>1</v>
      </c>
      <c r="D142" s="1">
        <v>2</v>
      </c>
      <c r="E142" s="1" t="s">
        <v>1944</v>
      </c>
      <c r="F142" s="1" t="s">
        <v>729</v>
      </c>
      <c r="G142" s="1" t="s">
        <v>1959</v>
      </c>
      <c r="H142" s="1" t="str">
        <f t="shared" si="2"/>
        <v>prc_hicp_midx_CP01164</v>
      </c>
      <c r="I142" s="1" t="s">
        <v>728</v>
      </c>
      <c r="K142" s="1" t="s">
        <v>1940</v>
      </c>
      <c r="L142" s="1" t="s">
        <v>1561</v>
      </c>
      <c r="M142" s="1" t="s">
        <v>1560</v>
      </c>
      <c r="N142" s="1" t="s">
        <v>725</v>
      </c>
      <c r="Q142" s="1" t="s">
        <v>724</v>
      </c>
      <c r="S142" s="1" t="s">
        <v>1905</v>
      </c>
    </row>
    <row r="143" spans="1:19" ht="12.75" x14ac:dyDescent="0.2">
      <c r="A143" s="1" t="s">
        <v>308</v>
      </c>
      <c r="B143" s="1" t="s">
        <v>308</v>
      </c>
      <c r="C143" s="1">
        <v>1</v>
      </c>
      <c r="D143" s="1">
        <v>2</v>
      </c>
      <c r="E143" s="1" t="s">
        <v>1944</v>
      </c>
      <c r="F143" s="1" t="s">
        <v>729</v>
      </c>
      <c r="G143" s="1" t="s">
        <v>1959</v>
      </c>
      <c r="H143" s="1" t="str">
        <f t="shared" si="2"/>
        <v>prc_hicp_midx_CP0117</v>
      </c>
      <c r="I143" s="1" t="s">
        <v>728</v>
      </c>
      <c r="K143" s="1" t="s">
        <v>1940</v>
      </c>
      <c r="L143" s="1" t="s">
        <v>1559</v>
      </c>
      <c r="M143" s="1" t="s">
        <v>1558</v>
      </c>
      <c r="N143" s="1" t="s">
        <v>725</v>
      </c>
      <c r="Q143" s="1" t="s">
        <v>724</v>
      </c>
      <c r="S143" s="1" t="s">
        <v>1905</v>
      </c>
    </row>
    <row r="144" spans="1:19" ht="12.75" x14ac:dyDescent="0.2">
      <c r="A144" s="1" t="s">
        <v>308</v>
      </c>
      <c r="B144" s="1" t="s">
        <v>308</v>
      </c>
      <c r="C144" s="1">
        <v>1</v>
      </c>
      <c r="D144" s="1">
        <v>2</v>
      </c>
      <c r="E144" s="1" t="s">
        <v>1944</v>
      </c>
      <c r="F144" s="1" t="s">
        <v>729</v>
      </c>
      <c r="G144" s="1" t="s">
        <v>1959</v>
      </c>
      <c r="H144" s="1" t="str">
        <f t="shared" si="2"/>
        <v>prc_hicp_midx_CP01171</v>
      </c>
      <c r="I144" s="1" t="s">
        <v>728</v>
      </c>
      <c r="K144" s="1" t="s">
        <v>1940</v>
      </c>
      <c r="L144" s="1" t="s">
        <v>1557</v>
      </c>
      <c r="M144" s="1" t="s">
        <v>1556</v>
      </c>
      <c r="N144" s="1" t="s">
        <v>725</v>
      </c>
      <c r="Q144" s="1" t="s">
        <v>724</v>
      </c>
      <c r="S144" s="1" t="s">
        <v>1905</v>
      </c>
    </row>
    <row r="145" spans="1:19" ht="12.75" x14ac:dyDescent="0.2">
      <c r="A145" s="1" t="s">
        <v>308</v>
      </c>
      <c r="B145" s="1" t="s">
        <v>308</v>
      </c>
      <c r="C145" s="1">
        <v>1</v>
      </c>
      <c r="D145" s="1">
        <v>2</v>
      </c>
      <c r="E145" s="1" t="s">
        <v>1944</v>
      </c>
      <c r="F145" s="1" t="s">
        <v>729</v>
      </c>
      <c r="G145" s="1" t="s">
        <v>1959</v>
      </c>
      <c r="H145" s="1" t="str">
        <f t="shared" si="2"/>
        <v>prc_hicp_midx_CP01172</v>
      </c>
      <c r="I145" s="1" t="s">
        <v>728</v>
      </c>
      <c r="K145" s="1" t="s">
        <v>1940</v>
      </c>
      <c r="L145" s="1" t="s">
        <v>1555</v>
      </c>
      <c r="M145" s="1" t="s">
        <v>1554</v>
      </c>
      <c r="N145" s="1" t="s">
        <v>725</v>
      </c>
      <c r="Q145" s="1" t="s">
        <v>724</v>
      </c>
      <c r="S145" s="1" t="s">
        <v>1905</v>
      </c>
    </row>
    <row r="146" spans="1:19" ht="12.75" x14ac:dyDescent="0.2">
      <c r="A146" s="1" t="s">
        <v>308</v>
      </c>
      <c r="B146" s="1" t="s">
        <v>308</v>
      </c>
      <c r="C146" s="1">
        <v>1</v>
      </c>
      <c r="D146" s="1">
        <v>2</v>
      </c>
      <c r="E146" s="1" t="s">
        <v>1944</v>
      </c>
      <c r="F146" s="1" t="s">
        <v>729</v>
      </c>
      <c r="G146" s="1" t="s">
        <v>1959</v>
      </c>
      <c r="H146" s="1" t="str">
        <f t="shared" si="2"/>
        <v>prc_hicp_midx_CP01173</v>
      </c>
      <c r="I146" s="1" t="s">
        <v>728</v>
      </c>
      <c r="K146" s="1" t="s">
        <v>1940</v>
      </c>
      <c r="L146" s="1" t="s">
        <v>1553</v>
      </c>
      <c r="M146" s="1" t="s">
        <v>1552</v>
      </c>
      <c r="N146" s="1" t="s">
        <v>725</v>
      </c>
      <c r="Q146" s="1" t="s">
        <v>724</v>
      </c>
      <c r="S146" s="1" t="s">
        <v>1905</v>
      </c>
    </row>
    <row r="147" spans="1:19" ht="12.75" x14ac:dyDescent="0.2">
      <c r="A147" s="1" t="s">
        <v>308</v>
      </c>
      <c r="B147" s="1" t="s">
        <v>308</v>
      </c>
      <c r="C147" s="1">
        <v>1</v>
      </c>
      <c r="D147" s="1">
        <v>2</v>
      </c>
      <c r="E147" s="1" t="s">
        <v>1944</v>
      </c>
      <c r="F147" s="1" t="s">
        <v>729</v>
      </c>
      <c r="G147" s="1" t="s">
        <v>1959</v>
      </c>
      <c r="H147" s="1" t="str">
        <f t="shared" si="2"/>
        <v>prc_hicp_midx_CP01174</v>
      </c>
      <c r="I147" s="1" t="s">
        <v>728</v>
      </c>
      <c r="K147" s="1" t="s">
        <v>1940</v>
      </c>
      <c r="L147" s="1" t="s">
        <v>1551</v>
      </c>
      <c r="M147" s="1" t="s">
        <v>1550</v>
      </c>
      <c r="N147" s="1" t="s">
        <v>725</v>
      </c>
      <c r="Q147" s="1" t="s">
        <v>724</v>
      </c>
      <c r="S147" s="1" t="s">
        <v>1905</v>
      </c>
    </row>
    <row r="148" spans="1:19" ht="12.75" x14ac:dyDescent="0.2">
      <c r="A148" s="1" t="s">
        <v>308</v>
      </c>
      <c r="B148" s="1" t="s">
        <v>308</v>
      </c>
      <c r="C148" s="1">
        <v>1</v>
      </c>
      <c r="D148" s="1">
        <v>2</v>
      </c>
      <c r="E148" s="1" t="s">
        <v>1944</v>
      </c>
      <c r="F148" s="1" t="s">
        <v>729</v>
      </c>
      <c r="G148" s="1" t="s">
        <v>1959</v>
      </c>
      <c r="H148" s="1" t="str">
        <f t="shared" si="2"/>
        <v>prc_hicp_midx_CP01175</v>
      </c>
      <c r="I148" s="1" t="s">
        <v>728</v>
      </c>
      <c r="K148" s="1" t="s">
        <v>1940</v>
      </c>
      <c r="L148" s="1" t="s">
        <v>1549</v>
      </c>
      <c r="M148" s="1" t="s">
        <v>1548</v>
      </c>
      <c r="N148" s="1" t="s">
        <v>725</v>
      </c>
      <c r="Q148" s="1" t="s">
        <v>724</v>
      </c>
      <c r="S148" s="1" t="s">
        <v>1905</v>
      </c>
    </row>
    <row r="149" spans="1:19" ht="12.75" x14ac:dyDescent="0.2">
      <c r="A149" s="1" t="s">
        <v>308</v>
      </c>
      <c r="B149" s="1" t="s">
        <v>308</v>
      </c>
      <c r="C149" s="1">
        <v>1</v>
      </c>
      <c r="D149" s="1">
        <v>2</v>
      </c>
      <c r="E149" s="1" t="s">
        <v>1944</v>
      </c>
      <c r="F149" s="1" t="s">
        <v>729</v>
      </c>
      <c r="G149" s="1" t="s">
        <v>1959</v>
      </c>
      <c r="H149" s="1" t="str">
        <f t="shared" si="2"/>
        <v>prc_hicp_midx_CP01176</v>
      </c>
      <c r="I149" s="1" t="s">
        <v>728</v>
      </c>
      <c r="K149" s="1" t="s">
        <v>1940</v>
      </c>
      <c r="L149" s="1" t="s">
        <v>1547</v>
      </c>
      <c r="M149" s="1" t="s">
        <v>1546</v>
      </c>
      <c r="N149" s="1" t="s">
        <v>725</v>
      </c>
      <c r="Q149" s="1" t="s">
        <v>724</v>
      </c>
      <c r="S149" s="1" t="s">
        <v>1905</v>
      </c>
    </row>
    <row r="150" spans="1:19" ht="12.75" x14ac:dyDescent="0.2">
      <c r="A150" s="1" t="s">
        <v>308</v>
      </c>
      <c r="B150" s="1" t="s">
        <v>308</v>
      </c>
      <c r="C150" s="1">
        <v>1</v>
      </c>
      <c r="D150" s="1">
        <v>2</v>
      </c>
      <c r="E150" s="1" t="s">
        <v>1944</v>
      </c>
      <c r="F150" s="1" t="s">
        <v>729</v>
      </c>
      <c r="G150" s="1" t="s">
        <v>1959</v>
      </c>
      <c r="H150" s="1" t="str">
        <f t="shared" si="2"/>
        <v>prc_hicp_midx_CP0118</v>
      </c>
      <c r="I150" s="1" t="s">
        <v>728</v>
      </c>
      <c r="K150" s="1" t="s">
        <v>1940</v>
      </c>
      <c r="L150" s="1" t="s">
        <v>1545</v>
      </c>
      <c r="M150" s="1" t="s">
        <v>1544</v>
      </c>
      <c r="N150" s="1" t="s">
        <v>725</v>
      </c>
      <c r="Q150" s="1" t="s">
        <v>724</v>
      </c>
      <c r="S150" s="1" t="s">
        <v>1905</v>
      </c>
    </row>
    <row r="151" spans="1:19" ht="12.75" x14ac:dyDescent="0.2">
      <c r="A151" s="1" t="s">
        <v>308</v>
      </c>
      <c r="B151" s="1" t="s">
        <v>308</v>
      </c>
      <c r="C151" s="1">
        <v>1</v>
      </c>
      <c r="D151" s="1">
        <v>2</v>
      </c>
      <c r="E151" s="1" t="s">
        <v>1944</v>
      </c>
      <c r="F151" s="1" t="s">
        <v>729</v>
      </c>
      <c r="G151" s="1" t="s">
        <v>1959</v>
      </c>
      <c r="H151" s="1" t="str">
        <f t="shared" si="2"/>
        <v>prc_hicp_midx_CP01181</v>
      </c>
      <c r="I151" s="1" t="s">
        <v>728</v>
      </c>
      <c r="K151" s="1" t="s">
        <v>1940</v>
      </c>
      <c r="L151" s="1" t="s">
        <v>1543</v>
      </c>
      <c r="M151" s="1" t="s">
        <v>1542</v>
      </c>
      <c r="N151" s="1" t="s">
        <v>725</v>
      </c>
      <c r="Q151" s="1" t="s">
        <v>724</v>
      </c>
      <c r="S151" s="1" t="s">
        <v>1905</v>
      </c>
    </row>
    <row r="152" spans="1:19" ht="12.75" x14ac:dyDescent="0.2">
      <c r="A152" s="1" t="s">
        <v>308</v>
      </c>
      <c r="B152" s="1" t="s">
        <v>308</v>
      </c>
      <c r="C152" s="1">
        <v>1</v>
      </c>
      <c r="D152" s="1">
        <v>2</v>
      </c>
      <c r="E152" s="1" t="s">
        <v>1944</v>
      </c>
      <c r="F152" s="1" t="s">
        <v>729</v>
      </c>
      <c r="G152" s="1" t="s">
        <v>1959</v>
      </c>
      <c r="H152" s="1" t="str">
        <f t="shared" si="2"/>
        <v>prc_hicp_midx_CP01182</v>
      </c>
      <c r="I152" s="1" t="s">
        <v>728</v>
      </c>
      <c r="K152" s="1" t="s">
        <v>1940</v>
      </c>
      <c r="L152" s="1" t="s">
        <v>1541</v>
      </c>
      <c r="M152" s="1" t="s">
        <v>1540</v>
      </c>
      <c r="N152" s="1" t="s">
        <v>725</v>
      </c>
      <c r="Q152" s="1" t="s">
        <v>724</v>
      </c>
      <c r="S152" s="1" t="s">
        <v>1905</v>
      </c>
    </row>
    <row r="153" spans="1:19" ht="12.75" x14ac:dyDescent="0.2">
      <c r="A153" s="1" t="s">
        <v>308</v>
      </c>
      <c r="B153" s="1" t="s">
        <v>308</v>
      </c>
      <c r="C153" s="1">
        <v>1</v>
      </c>
      <c r="D153" s="1">
        <v>2</v>
      </c>
      <c r="E153" s="1" t="s">
        <v>1944</v>
      </c>
      <c r="F153" s="1" t="s">
        <v>729</v>
      </c>
      <c r="G153" s="1" t="s">
        <v>1959</v>
      </c>
      <c r="H153" s="1" t="str">
        <f t="shared" si="2"/>
        <v>prc_hicp_midx_CP01183</v>
      </c>
      <c r="I153" s="1" t="s">
        <v>728</v>
      </c>
      <c r="K153" s="1" t="s">
        <v>1940</v>
      </c>
      <c r="L153" s="1" t="s">
        <v>1539</v>
      </c>
      <c r="M153" s="1" t="s">
        <v>1538</v>
      </c>
      <c r="N153" s="1" t="s">
        <v>725</v>
      </c>
      <c r="Q153" s="1" t="s">
        <v>724</v>
      </c>
      <c r="S153" s="1" t="s">
        <v>1905</v>
      </c>
    </row>
    <row r="154" spans="1:19" ht="12.75" x14ac:dyDescent="0.2">
      <c r="A154" s="1" t="s">
        <v>308</v>
      </c>
      <c r="B154" s="1" t="s">
        <v>308</v>
      </c>
      <c r="C154" s="1">
        <v>1</v>
      </c>
      <c r="D154" s="1">
        <v>2</v>
      </c>
      <c r="E154" s="1" t="s">
        <v>1944</v>
      </c>
      <c r="F154" s="1" t="s">
        <v>729</v>
      </c>
      <c r="G154" s="1" t="s">
        <v>1959</v>
      </c>
      <c r="H154" s="1" t="str">
        <f t="shared" si="2"/>
        <v>prc_hicp_midx_CP01184</v>
      </c>
      <c r="I154" s="1" t="s">
        <v>728</v>
      </c>
      <c r="K154" s="1" t="s">
        <v>1940</v>
      </c>
      <c r="L154" s="1" t="s">
        <v>1537</v>
      </c>
      <c r="M154" s="1" t="s">
        <v>1536</v>
      </c>
      <c r="N154" s="1" t="s">
        <v>725</v>
      </c>
      <c r="Q154" s="1" t="s">
        <v>724</v>
      </c>
      <c r="S154" s="1" t="s">
        <v>1905</v>
      </c>
    </row>
    <row r="155" spans="1:19" ht="12.75" x14ac:dyDescent="0.2">
      <c r="A155" s="1" t="s">
        <v>308</v>
      </c>
      <c r="B155" s="1" t="s">
        <v>308</v>
      </c>
      <c r="C155" s="1">
        <v>1</v>
      </c>
      <c r="D155" s="1">
        <v>2</v>
      </c>
      <c r="E155" s="1" t="s">
        <v>1944</v>
      </c>
      <c r="F155" s="1" t="s">
        <v>729</v>
      </c>
      <c r="G155" s="1" t="s">
        <v>1959</v>
      </c>
      <c r="H155" s="1" t="str">
        <f t="shared" si="2"/>
        <v>prc_hicp_midx_CP01185</v>
      </c>
      <c r="I155" s="1" t="s">
        <v>728</v>
      </c>
      <c r="K155" s="1" t="s">
        <v>1940</v>
      </c>
      <c r="L155" s="1" t="s">
        <v>1535</v>
      </c>
      <c r="M155" s="1" t="s">
        <v>1534</v>
      </c>
      <c r="N155" s="1" t="s">
        <v>725</v>
      </c>
      <c r="Q155" s="1" t="s">
        <v>724</v>
      </c>
      <c r="S155" s="1" t="s">
        <v>1905</v>
      </c>
    </row>
    <row r="156" spans="1:19" ht="12.75" x14ac:dyDescent="0.2">
      <c r="A156" s="1" t="s">
        <v>308</v>
      </c>
      <c r="B156" s="1" t="s">
        <v>308</v>
      </c>
      <c r="C156" s="1">
        <v>1</v>
      </c>
      <c r="D156" s="1">
        <v>2</v>
      </c>
      <c r="E156" s="1" t="s">
        <v>1944</v>
      </c>
      <c r="F156" s="1" t="s">
        <v>729</v>
      </c>
      <c r="G156" s="1" t="s">
        <v>1959</v>
      </c>
      <c r="H156" s="1" t="str">
        <f t="shared" si="2"/>
        <v>prc_hicp_midx_CP01186</v>
      </c>
      <c r="I156" s="1" t="s">
        <v>728</v>
      </c>
      <c r="K156" s="1" t="s">
        <v>1940</v>
      </c>
      <c r="L156" s="1" t="s">
        <v>1533</v>
      </c>
      <c r="M156" s="1" t="s">
        <v>1532</v>
      </c>
      <c r="N156" s="1" t="s">
        <v>725</v>
      </c>
      <c r="Q156" s="1" t="s">
        <v>724</v>
      </c>
      <c r="S156" s="1" t="s">
        <v>1905</v>
      </c>
    </row>
    <row r="157" spans="1:19" ht="12.75" x14ac:dyDescent="0.2">
      <c r="A157" s="1" t="s">
        <v>308</v>
      </c>
      <c r="B157" s="1" t="s">
        <v>308</v>
      </c>
      <c r="C157" s="1">
        <v>1</v>
      </c>
      <c r="D157" s="1">
        <v>2</v>
      </c>
      <c r="E157" s="1" t="s">
        <v>1944</v>
      </c>
      <c r="F157" s="1" t="s">
        <v>729</v>
      </c>
      <c r="G157" s="1" t="s">
        <v>1959</v>
      </c>
      <c r="H157" s="1" t="str">
        <f t="shared" si="2"/>
        <v>prc_hicp_midx_CP0119</v>
      </c>
      <c r="I157" s="1" t="s">
        <v>728</v>
      </c>
      <c r="K157" s="1" t="s">
        <v>1940</v>
      </c>
      <c r="L157" s="1" t="s">
        <v>1531</v>
      </c>
      <c r="M157" s="1" t="s">
        <v>1530</v>
      </c>
      <c r="N157" s="1" t="s">
        <v>725</v>
      </c>
      <c r="Q157" s="1" t="s">
        <v>724</v>
      </c>
      <c r="S157" s="1" t="s">
        <v>1905</v>
      </c>
    </row>
    <row r="158" spans="1:19" ht="12.75" x14ac:dyDescent="0.2">
      <c r="A158" s="1" t="s">
        <v>308</v>
      </c>
      <c r="B158" s="1" t="s">
        <v>308</v>
      </c>
      <c r="C158" s="1">
        <v>1</v>
      </c>
      <c r="D158" s="1">
        <v>2</v>
      </c>
      <c r="E158" s="1" t="s">
        <v>1944</v>
      </c>
      <c r="F158" s="1" t="s">
        <v>729</v>
      </c>
      <c r="G158" s="1" t="s">
        <v>1959</v>
      </c>
      <c r="H158" s="1" t="str">
        <f t="shared" si="2"/>
        <v>prc_hicp_midx_CP01191</v>
      </c>
      <c r="I158" s="1" t="s">
        <v>728</v>
      </c>
      <c r="K158" s="1" t="s">
        <v>1940</v>
      </c>
      <c r="L158" s="1" t="s">
        <v>1529</v>
      </c>
      <c r="M158" s="1" t="s">
        <v>1528</v>
      </c>
      <c r="N158" s="1" t="s">
        <v>725</v>
      </c>
      <c r="Q158" s="1" t="s">
        <v>724</v>
      </c>
      <c r="S158" s="1" t="s">
        <v>1905</v>
      </c>
    </row>
    <row r="159" spans="1:19" ht="12.75" x14ac:dyDescent="0.2">
      <c r="A159" s="1" t="s">
        <v>308</v>
      </c>
      <c r="B159" s="1" t="s">
        <v>308</v>
      </c>
      <c r="C159" s="1">
        <v>1</v>
      </c>
      <c r="D159" s="1">
        <v>2</v>
      </c>
      <c r="E159" s="1" t="s">
        <v>1944</v>
      </c>
      <c r="F159" s="1" t="s">
        <v>729</v>
      </c>
      <c r="G159" s="1" t="s">
        <v>1959</v>
      </c>
      <c r="H159" s="1" t="str">
        <f t="shared" si="2"/>
        <v>prc_hicp_midx_CP01192</v>
      </c>
      <c r="I159" s="1" t="s">
        <v>728</v>
      </c>
      <c r="K159" s="1" t="s">
        <v>1940</v>
      </c>
      <c r="L159" s="1" t="s">
        <v>1527</v>
      </c>
      <c r="M159" s="1" t="s">
        <v>1526</v>
      </c>
      <c r="N159" s="1" t="s">
        <v>725</v>
      </c>
      <c r="Q159" s="1" t="s">
        <v>724</v>
      </c>
      <c r="S159" s="1" t="s">
        <v>1905</v>
      </c>
    </row>
    <row r="160" spans="1:19" ht="12.75" x14ac:dyDescent="0.2">
      <c r="A160" s="1" t="s">
        <v>308</v>
      </c>
      <c r="B160" s="1" t="s">
        <v>308</v>
      </c>
      <c r="C160" s="1">
        <v>1</v>
      </c>
      <c r="D160" s="1">
        <v>2</v>
      </c>
      <c r="E160" s="1" t="s">
        <v>1944</v>
      </c>
      <c r="F160" s="1" t="s">
        <v>729</v>
      </c>
      <c r="G160" s="1" t="s">
        <v>1959</v>
      </c>
      <c r="H160" s="1" t="str">
        <f t="shared" si="2"/>
        <v>prc_hicp_midx_CP01193</v>
      </c>
      <c r="I160" s="1" t="s">
        <v>728</v>
      </c>
      <c r="K160" s="1" t="s">
        <v>1940</v>
      </c>
      <c r="L160" s="1" t="s">
        <v>1525</v>
      </c>
      <c r="M160" s="1" t="s">
        <v>1524</v>
      </c>
      <c r="N160" s="1" t="s">
        <v>725</v>
      </c>
      <c r="Q160" s="1" t="s">
        <v>724</v>
      </c>
      <c r="S160" s="1" t="s">
        <v>1905</v>
      </c>
    </row>
    <row r="161" spans="1:19" ht="12.75" x14ac:dyDescent="0.2">
      <c r="A161" s="1" t="s">
        <v>308</v>
      </c>
      <c r="B161" s="1" t="s">
        <v>308</v>
      </c>
      <c r="C161" s="1">
        <v>1</v>
      </c>
      <c r="D161" s="1">
        <v>2</v>
      </c>
      <c r="E161" s="1" t="s">
        <v>1944</v>
      </c>
      <c r="F161" s="1" t="s">
        <v>729</v>
      </c>
      <c r="G161" s="1" t="s">
        <v>1959</v>
      </c>
      <c r="H161" s="1" t="str">
        <f t="shared" si="2"/>
        <v>prc_hicp_midx_CP01194</v>
      </c>
      <c r="I161" s="1" t="s">
        <v>728</v>
      </c>
      <c r="K161" s="1" t="s">
        <v>1940</v>
      </c>
      <c r="L161" s="1" t="s">
        <v>1523</v>
      </c>
      <c r="M161" s="1" t="s">
        <v>1522</v>
      </c>
      <c r="N161" s="1" t="s">
        <v>725</v>
      </c>
      <c r="Q161" s="1" t="s">
        <v>724</v>
      </c>
      <c r="S161" s="1" t="s">
        <v>1905</v>
      </c>
    </row>
    <row r="162" spans="1:19" ht="12.75" x14ac:dyDescent="0.2">
      <c r="A162" s="1" t="s">
        <v>308</v>
      </c>
      <c r="B162" s="1" t="s">
        <v>308</v>
      </c>
      <c r="C162" s="1">
        <v>1</v>
      </c>
      <c r="D162" s="1">
        <v>2</v>
      </c>
      <c r="E162" s="1" t="s">
        <v>1944</v>
      </c>
      <c r="F162" s="1" t="s">
        <v>729</v>
      </c>
      <c r="G162" s="1" t="s">
        <v>1959</v>
      </c>
      <c r="H162" s="1" t="str">
        <f t="shared" si="2"/>
        <v>prc_hicp_midx_CP01199</v>
      </c>
      <c r="I162" s="1" t="s">
        <v>728</v>
      </c>
      <c r="K162" s="1" t="s">
        <v>1940</v>
      </c>
      <c r="L162" s="1" t="s">
        <v>1521</v>
      </c>
      <c r="M162" s="1" t="s">
        <v>1520</v>
      </c>
      <c r="N162" s="1" t="s">
        <v>725</v>
      </c>
      <c r="Q162" s="1" t="s">
        <v>724</v>
      </c>
      <c r="S162" s="1" t="s">
        <v>1905</v>
      </c>
    </row>
    <row r="163" spans="1:19" ht="12.75" x14ac:dyDescent="0.2">
      <c r="A163" s="1" t="s">
        <v>308</v>
      </c>
      <c r="B163" s="1" t="s">
        <v>308</v>
      </c>
      <c r="C163" s="1">
        <v>1</v>
      </c>
      <c r="D163" s="1">
        <v>2</v>
      </c>
      <c r="E163" s="1" t="s">
        <v>1944</v>
      </c>
      <c r="F163" s="1" t="s">
        <v>729</v>
      </c>
      <c r="G163" s="1" t="s">
        <v>1959</v>
      </c>
      <c r="H163" s="1" t="str">
        <f t="shared" si="2"/>
        <v>prc_hicp_midx_CP012</v>
      </c>
      <c r="I163" s="1" t="s">
        <v>728</v>
      </c>
      <c r="K163" s="1" t="s">
        <v>1940</v>
      </c>
      <c r="L163" s="1" t="s">
        <v>1519</v>
      </c>
      <c r="M163" s="1" t="s">
        <v>1518</v>
      </c>
      <c r="N163" s="1" t="s">
        <v>725</v>
      </c>
      <c r="Q163" s="1" t="s">
        <v>724</v>
      </c>
      <c r="S163" s="1" t="s">
        <v>1905</v>
      </c>
    </row>
    <row r="164" spans="1:19" ht="12.75" x14ac:dyDescent="0.2">
      <c r="A164" s="1" t="s">
        <v>308</v>
      </c>
      <c r="B164" s="1" t="s">
        <v>308</v>
      </c>
      <c r="C164" s="1">
        <v>1</v>
      </c>
      <c r="D164" s="1">
        <v>2</v>
      </c>
      <c r="E164" s="1" t="s">
        <v>1944</v>
      </c>
      <c r="F164" s="1" t="s">
        <v>729</v>
      </c>
      <c r="G164" s="1" t="s">
        <v>1959</v>
      </c>
      <c r="H164" s="1" t="str">
        <f t="shared" si="2"/>
        <v>prc_hicp_midx_CP0121</v>
      </c>
      <c r="I164" s="1" t="s">
        <v>728</v>
      </c>
      <c r="K164" s="1" t="s">
        <v>1940</v>
      </c>
      <c r="L164" s="1" t="s">
        <v>1517</v>
      </c>
      <c r="M164" s="1" t="s">
        <v>1516</v>
      </c>
      <c r="N164" s="1" t="s">
        <v>725</v>
      </c>
      <c r="Q164" s="1" t="s">
        <v>724</v>
      </c>
      <c r="S164" s="1" t="s">
        <v>1905</v>
      </c>
    </row>
    <row r="165" spans="1:19" ht="12.75" x14ac:dyDescent="0.2">
      <c r="A165" s="1" t="s">
        <v>308</v>
      </c>
      <c r="B165" s="1" t="s">
        <v>308</v>
      </c>
      <c r="C165" s="1">
        <v>1</v>
      </c>
      <c r="D165" s="1">
        <v>2</v>
      </c>
      <c r="E165" s="1" t="s">
        <v>1944</v>
      </c>
      <c r="F165" s="1" t="s">
        <v>729</v>
      </c>
      <c r="G165" s="1" t="s">
        <v>1959</v>
      </c>
      <c r="H165" s="1" t="str">
        <f t="shared" si="2"/>
        <v>prc_hicp_midx_CP01211</v>
      </c>
      <c r="I165" s="1" t="s">
        <v>728</v>
      </c>
      <c r="K165" s="1" t="s">
        <v>1940</v>
      </c>
      <c r="L165" s="1" t="s">
        <v>1515</v>
      </c>
      <c r="M165" s="1" t="s">
        <v>1514</v>
      </c>
      <c r="N165" s="1" t="s">
        <v>725</v>
      </c>
      <c r="Q165" s="1" t="s">
        <v>724</v>
      </c>
      <c r="S165" s="1" t="s">
        <v>1905</v>
      </c>
    </row>
    <row r="166" spans="1:19" ht="12.75" x14ac:dyDescent="0.2">
      <c r="A166" s="1" t="s">
        <v>308</v>
      </c>
      <c r="B166" s="1" t="s">
        <v>308</v>
      </c>
      <c r="C166" s="1">
        <v>1</v>
      </c>
      <c r="D166" s="1">
        <v>2</v>
      </c>
      <c r="E166" s="1" t="s">
        <v>1944</v>
      </c>
      <c r="F166" s="1" t="s">
        <v>729</v>
      </c>
      <c r="G166" s="1" t="s">
        <v>1959</v>
      </c>
      <c r="H166" s="1" t="str">
        <f t="shared" si="2"/>
        <v>prc_hicp_midx_CP01212</v>
      </c>
      <c r="I166" s="1" t="s">
        <v>728</v>
      </c>
      <c r="K166" s="1" t="s">
        <v>1940</v>
      </c>
      <c r="L166" s="1" t="s">
        <v>1513</v>
      </c>
      <c r="M166" s="1" t="s">
        <v>1512</v>
      </c>
      <c r="N166" s="1" t="s">
        <v>725</v>
      </c>
      <c r="Q166" s="1" t="s">
        <v>724</v>
      </c>
      <c r="S166" s="1" t="s">
        <v>1905</v>
      </c>
    </row>
    <row r="167" spans="1:19" ht="12.75" x14ac:dyDescent="0.2">
      <c r="A167" s="1" t="s">
        <v>308</v>
      </c>
      <c r="B167" s="1" t="s">
        <v>308</v>
      </c>
      <c r="C167" s="1">
        <v>1</v>
      </c>
      <c r="D167" s="1">
        <v>2</v>
      </c>
      <c r="E167" s="1" t="s">
        <v>1944</v>
      </c>
      <c r="F167" s="1" t="s">
        <v>729</v>
      </c>
      <c r="G167" s="1" t="s">
        <v>1959</v>
      </c>
      <c r="H167" s="1" t="str">
        <f t="shared" si="2"/>
        <v>prc_hicp_midx_CP01213</v>
      </c>
      <c r="I167" s="1" t="s">
        <v>728</v>
      </c>
      <c r="K167" s="1" t="s">
        <v>1940</v>
      </c>
      <c r="L167" s="1" t="s">
        <v>1511</v>
      </c>
      <c r="M167" s="1" t="s">
        <v>1510</v>
      </c>
      <c r="N167" s="1" t="s">
        <v>725</v>
      </c>
      <c r="Q167" s="1" t="s">
        <v>724</v>
      </c>
      <c r="S167" s="1" t="s">
        <v>1905</v>
      </c>
    </row>
    <row r="168" spans="1:19" ht="12.75" x14ac:dyDescent="0.2">
      <c r="A168" s="1" t="s">
        <v>308</v>
      </c>
      <c r="B168" s="1" t="s">
        <v>308</v>
      </c>
      <c r="C168" s="1">
        <v>1</v>
      </c>
      <c r="D168" s="1">
        <v>2</v>
      </c>
      <c r="E168" s="1" t="s">
        <v>1944</v>
      </c>
      <c r="F168" s="1" t="s">
        <v>729</v>
      </c>
      <c r="G168" s="1" t="s">
        <v>1959</v>
      </c>
      <c r="H168" s="1" t="str">
        <f t="shared" si="2"/>
        <v>prc_hicp_midx_CP0122</v>
      </c>
      <c r="I168" s="1" t="s">
        <v>728</v>
      </c>
      <c r="K168" s="1" t="s">
        <v>1940</v>
      </c>
      <c r="L168" s="1" t="s">
        <v>1509</v>
      </c>
      <c r="M168" s="1" t="s">
        <v>1508</v>
      </c>
      <c r="N168" s="1" t="s">
        <v>725</v>
      </c>
      <c r="Q168" s="1" t="s">
        <v>724</v>
      </c>
      <c r="S168" s="1" t="s">
        <v>1905</v>
      </c>
    </row>
    <row r="169" spans="1:19" ht="12.75" x14ac:dyDescent="0.2">
      <c r="A169" s="1" t="s">
        <v>308</v>
      </c>
      <c r="B169" s="1" t="s">
        <v>308</v>
      </c>
      <c r="C169" s="1">
        <v>1</v>
      </c>
      <c r="D169" s="1">
        <v>2</v>
      </c>
      <c r="E169" s="1" t="s">
        <v>1944</v>
      </c>
      <c r="F169" s="1" t="s">
        <v>729</v>
      </c>
      <c r="G169" s="1" t="s">
        <v>1959</v>
      </c>
      <c r="H169" s="1" t="str">
        <f t="shared" si="2"/>
        <v>prc_hicp_midx_CP01221</v>
      </c>
      <c r="I169" s="1" t="s">
        <v>728</v>
      </c>
      <c r="K169" s="1" t="s">
        <v>1940</v>
      </c>
      <c r="L169" s="1" t="s">
        <v>1507</v>
      </c>
      <c r="M169" s="1" t="s">
        <v>1506</v>
      </c>
      <c r="N169" s="1" t="s">
        <v>725</v>
      </c>
      <c r="Q169" s="1" t="s">
        <v>724</v>
      </c>
      <c r="S169" s="1" t="s">
        <v>1905</v>
      </c>
    </row>
    <row r="170" spans="1:19" ht="12.75" x14ac:dyDescent="0.2">
      <c r="A170" s="1" t="s">
        <v>308</v>
      </c>
      <c r="B170" s="1" t="s">
        <v>308</v>
      </c>
      <c r="C170" s="1">
        <v>1</v>
      </c>
      <c r="D170" s="1">
        <v>2</v>
      </c>
      <c r="E170" s="1" t="s">
        <v>1944</v>
      </c>
      <c r="F170" s="1" t="s">
        <v>729</v>
      </c>
      <c r="G170" s="1" t="s">
        <v>1959</v>
      </c>
      <c r="H170" s="1" t="str">
        <f t="shared" si="2"/>
        <v>prc_hicp_midx_CP01222</v>
      </c>
      <c r="I170" s="1" t="s">
        <v>728</v>
      </c>
      <c r="K170" s="1" t="s">
        <v>1940</v>
      </c>
      <c r="L170" s="1" t="s">
        <v>1505</v>
      </c>
      <c r="M170" s="1" t="s">
        <v>1504</v>
      </c>
      <c r="N170" s="1" t="s">
        <v>725</v>
      </c>
      <c r="Q170" s="1" t="s">
        <v>724</v>
      </c>
      <c r="S170" s="1" t="s">
        <v>1905</v>
      </c>
    </row>
    <row r="171" spans="1:19" ht="12.75" x14ac:dyDescent="0.2">
      <c r="A171" s="1" t="s">
        <v>308</v>
      </c>
      <c r="B171" s="1" t="s">
        <v>308</v>
      </c>
      <c r="C171" s="1">
        <v>1</v>
      </c>
      <c r="D171" s="1">
        <v>2</v>
      </c>
      <c r="E171" s="1" t="s">
        <v>1944</v>
      </c>
      <c r="F171" s="1" t="s">
        <v>729</v>
      </c>
      <c r="G171" s="1" t="s">
        <v>1959</v>
      </c>
      <c r="H171" s="1" t="str">
        <f t="shared" si="2"/>
        <v>prc_hicp_midx_CP01223</v>
      </c>
      <c r="I171" s="1" t="s">
        <v>728</v>
      </c>
      <c r="K171" s="1" t="s">
        <v>1940</v>
      </c>
      <c r="L171" s="1" t="s">
        <v>1503</v>
      </c>
      <c r="M171" s="1" t="s">
        <v>1502</v>
      </c>
      <c r="N171" s="1" t="s">
        <v>725</v>
      </c>
      <c r="Q171" s="1" t="s">
        <v>724</v>
      </c>
      <c r="S171" s="1" t="s">
        <v>1905</v>
      </c>
    </row>
    <row r="172" spans="1:19" ht="12.75" x14ac:dyDescent="0.2">
      <c r="A172" s="1" t="s">
        <v>308</v>
      </c>
      <c r="B172" s="1" t="s">
        <v>308</v>
      </c>
      <c r="C172" s="1">
        <v>1</v>
      </c>
      <c r="D172" s="1">
        <v>2</v>
      </c>
      <c r="E172" s="1" t="s">
        <v>1944</v>
      </c>
      <c r="F172" s="1" t="s">
        <v>729</v>
      </c>
      <c r="G172" s="1" t="s">
        <v>1959</v>
      </c>
      <c r="H172" s="1" t="str">
        <f t="shared" si="2"/>
        <v>prc_hicp_midx_CP02</v>
      </c>
      <c r="I172" s="1" t="s">
        <v>728</v>
      </c>
      <c r="K172" s="1" t="s">
        <v>1940</v>
      </c>
      <c r="L172" s="1" t="s">
        <v>1501</v>
      </c>
      <c r="M172" s="1" t="s">
        <v>1500</v>
      </c>
      <c r="N172" s="1" t="s">
        <v>725</v>
      </c>
      <c r="Q172" s="1" t="s">
        <v>724</v>
      </c>
      <c r="S172" s="1" t="s">
        <v>1905</v>
      </c>
    </row>
    <row r="173" spans="1:19" ht="12.75" x14ac:dyDescent="0.2">
      <c r="A173" s="1" t="s">
        <v>308</v>
      </c>
      <c r="B173" s="1" t="s">
        <v>308</v>
      </c>
      <c r="C173" s="1">
        <v>1</v>
      </c>
      <c r="D173" s="1">
        <v>2</v>
      </c>
      <c r="E173" s="1" t="s">
        <v>1944</v>
      </c>
      <c r="F173" s="1" t="s">
        <v>729</v>
      </c>
      <c r="G173" s="1" t="s">
        <v>1959</v>
      </c>
      <c r="H173" s="1" t="str">
        <f t="shared" si="2"/>
        <v>prc_hicp_midx_CP021</v>
      </c>
      <c r="I173" s="1" t="s">
        <v>728</v>
      </c>
      <c r="K173" s="1" t="s">
        <v>1940</v>
      </c>
      <c r="L173" s="1" t="s">
        <v>1499</v>
      </c>
      <c r="M173" s="1" t="s">
        <v>1498</v>
      </c>
      <c r="N173" s="1" t="s">
        <v>725</v>
      </c>
      <c r="Q173" s="1" t="s">
        <v>724</v>
      </c>
      <c r="S173" s="1" t="s">
        <v>1905</v>
      </c>
    </row>
    <row r="174" spans="1:19" ht="12.75" x14ac:dyDescent="0.2">
      <c r="A174" s="1" t="s">
        <v>308</v>
      </c>
      <c r="B174" s="1" t="s">
        <v>308</v>
      </c>
      <c r="C174" s="1">
        <v>1</v>
      </c>
      <c r="D174" s="1">
        <v>2</v>
      </c>
      <c r="E174" s="1" t="s">
        <v>1944</v>
      </c>
      <c r="F174" s="1" t="s">
        <v>729</v>
      </c>
      <c r="G174" s="1" t="s">
        <v>1959</v>
      </c>
      <c r="H174" s="1" t="str">
        <f t="shared" si="2"/>
        <v>prc_hicp_midx_CP0211</v>
      </c>
      <c r="I174" s="1" t="s">
        <v>728</v>
      </c>
      <c r="K174" s="1" t="s">
        <v>1940</v>
      </c>
      <c r="L174" s="1" t="s">
        <v>1497</v>
      </c>
      <c r="M174" s="1" t="s">
        <v>1496</v>
      </c>
      <c r="N174" s="1" t="s">
        <v>725</v>
      </c>
      <c r="Q174" s="1" t="s">
        <v>724</v>
      </c>
      <c r="S174" s="1" t="s">
        <v>1905</v>
      </c>
    </row>
    <row r="175" spans="1:19" ht="12.75" x14ac:dyDescent="0.2">
      <c r="A175" s="1" t="s">
        <v>308</v>
      </c>
      <c r="B175" s="1" t="s">
        <v>308</v>
      </c>
      <c r="C175" s="1">
        <v>1</v>
      </c>
      <c r="D175" s="1">
        <v>2</v>
      </c>
      <c r="E175" s="1" t="s">
        <v>1944</v>
      </c>
      <c r="F175" s="1" t="s">
        <v>729</v>
      </c>
      <c r="G175" s="1" t="s">
        <v>1959</v>
      </c>
      <c r="H175" s="1" t="str">
        <f t="shared" si="2"/>
        <v>prc_hicp_midx_CP02111</v>
      </c>
      <c r="I175" s="1" t="s">
        <v>728</v>
      </c>
      <c r="K175" s="1" t="s">
        <v>1940</v>
      </c>
      <c r="L175" s="1" t="s">
        <v>1495</v>
      </c>
      <c r="M175" s="1" t="s">
        <v>1494</v>
      </c>
      <c r="N175" s="1" t="s">
        <v>725</v>
      </c>
      <c r="Q175" s="1" t="s">
        <v>724</v>
      </c>
      <c r="S175" s="1" t="s">
        <v>1905</v>
      </c>
    </row>
    <row r="176" spans="1:19" ht="12.75" x14ac:dyDescent="0.2">
      <c r="A176" s="1" t="s">
        <v>308</v>
      </c>
      <c r="B176" s="1" t="s">
        <v>308</v>
      </c>
      <c r="C176" s="1">
        <v>1</v>
      </c>
      <c r="D176" s="1">
        <v>2</v>
      </c>
      <c r="E176" s="1" t="s">
        <v>1944</v>
      </c>
      <c r="F176" s="1" t="s">
        <v>729</v>
      </c>
      <c r="G176" s="1" t="s">
        <v>1959</v>
      </c>
      <c r="H176" s="1" t="str">
        <f t="shared" si="2"/>
        <v>prc_hicp_midx_CP02112</v>
      </c>
      <c r="I176" s="1" t="s">
        <v>728</v>
      </c>
      <c r="K176" s="1" t="s">
        <v>1940</v>
      </c>
      <c r="L176" s="1" t="s">
        <v>1493</v>
      </c>
      <c r="M176" s="1" t="s">
        <v>1492</v>
      </c>
      <c r="N176" s="1" t="s">
        <v>725</v>
      </c>
      <c r="Q176" s="1" t="s">
        <v>724</v>
      </c>
      <c r="S176" s="1" t="s">
        <v>1905</v>
      </c>
    </row>
    <row r="177" spans="1:19" ht="12.75" x14ac:dyDescent="0.2">
      <c r="A177" s="1" t="s">
        <v>308</v>
      </c>
      <c r="B177" s="1" t="s">
        <v>308</v>
      </c>
      <c r="C177" s="1">
        <v>1</v>
      </c>
      <c r="D177" s="1">
        <v>2</v>
      </c>
      <c r="E177" s="1" t="s">
        <v>1944</v>
      </c>
      <c r="F177" s="1" t="s">
        <v>729</v>
      </c>
      <c r="G177" s="1" t="s">
        <v>1959</v>
      </c>
      <c r="H177" s="1" t="str">
        <f t="shared" si="2"/>
        <v>prc_hicp_midx_CP0212</v>
      </c>
      <c r="I177" s="1" t="s">
        <v>728</v>
      </c>
      <c r="K177" s="1" t="s">
        <v>1940</v>
      </c>
      <c r="L177" s="1" t="s">
        <v>1491</v>
      </c>
      <c r="M177" s="1" t="s">
        <v>1490</v>
      </c>
      <c r="N177" s="1" t="s">
        <v>725</v>
      </c>
      <c r="Q177" s="1" t="s">
        <v>724</v>
      </c>
      <c r="S177" s="1" t="s">
        <v>1905</v>
      </c>
    </row>
    <row r="178" spans="1:19" ht="12.75" x14ac:dyDescent="0.2">
      <c r="A178" s="1" t="s">
        <v>308</v>
      </c>
      <c r="B178" s="1" t="s">
        <v>308</v>
      </c>
      <c r="C178" s="1">
        <v>1</v>
      </c>
      <c r="D178" s="1">
        <v>2</v>
      </c>
      <c r="E178" s="1" t="s">
        <v>1944</v>
      </c>
      <c r="F178" s="1" t="s">
        <v>729</v>
      </c>
      <c r="G178" s="1" t="s">
        <v>1959</v>
      </c>
      <c r="H178" s="1" t="str">
        <f t="shared" si="2"/>
        <v>prc_hicp_midx_CP02121</v>
      </c>
      <c r="I178" s="1" t="s">
        <v>728</v>
      </c>
      <c r="K178" s="1" t="s">
        <v>1940</v>
      </c>
      <c r="L178" s="1" t="s">
        <v>1489</v>
      </c>
      <c r="M178" s="1" t="s">
        <v>1488</v>
      </c>
      <c r="N178" s="1" t="s">
        <v>725</v>
      </c>
      <c r="Q178" s="1" t="s">
        <v>724</v>
      </c>
      <c r="S178" s="1" t="s">
        <v>1905</v>
      </c>
    </row>
    <row r="179" spans="1:19" ht="12.75" x14ac:dyDescent="0.2">
      <c r="A179" s="1" t="s">
        <v>308</v>
      </c>
      <c r="B179" s="1" t="s">
        <v>308</v>
      </c>
      <c r="C179" s="1">
        <v>1</v>
      </c>
      <c r="D179" s="1">
        <v>2</v>
      </c>
      <c r="E179" s="1" t="s">
        <v>1944</v>
      </c>
      <c r="F179" s="1" t="s">
        <v>729</v>
      </c>
      <c r="G179" s="1" t="s">
        <v>1959</v>
      </c>
      <c r="H179" s="1" t="str">
        <f t="shared" si="2"/>
        <v>prc_hicp_midx_CP02122</v>
      </c>
      <c r="I179" s="1" t="s">
        <v>728</v>
      </c>
      <c r="K179" s="1" t="s">
        <v>1940</v>
      </c>
      <c r="L179" s="1" t="s">
        <v>1487</v>
      </c>
      <c r="M179" s="1" t="s">
        <v>1486</v>
      </c>
      <c r="N179" s="1" t="s">
        <v>725</v>
      </c>
      <c r="Q179" s="1" t="s">
        <v>724</v>
      </c>
      <c r="S179" s="1" t="s">
        <v>1905</v>
      </c>
    </row>
    <row r="180" spans="1:19" ht="12.75" x14ac:dyDescent="0.2">
      <c r="A180" s="1" t="s">
        <v>308</v>
      </c>
      <c r="B180" s="1" t="s">
        <v>308</v>
      </c>
      <c r="C180" s="1">
        <v>1</v>
      </c>
      <c r="D180" s="1">
        <v>2</v>
      </c>
      <c r="E180" s="1" t="s">
        <v>1944</v>
      </c>
      <c r="F180" s="1" t="s">
        <v>729</v>
      </c>
      <c r="G180" s="1" t="s">
        <v>1959</v>
      </c>
      <c r="H180" s="1" t="str">
        <f t="shared" si="2"/>
        <v>prc_hicp_midx_CP02123</v>
      </c>
      <c r="I180" s="1" t="s">
        <v>728</v>
      </c>
      <c r="K180" s="1" t="s">
        <v>1940</v>
      </c>
      <c r="L180" s="1" t="s">
        <v>1485</v>
      </c>
      <c r="M180" s="1" t="s">
        <v>1484</v>
      </c>
      <c r="N180" s="1" t="s">
        <v>725</v>
      </c>
      <c r="Q180" s="1" t="s">
        <v>724</v>
      </c>
      <c r="S180" s="1" t="s">
        <v>1905</v>
      </c>
    </row>
    <row r="181" spans="1:19" ht="12.75" x14ac:dyDescent="0.2">
      <c r="A181" s="1" t="s">
        <v>308</v>
      </c>
      <c r="B181" s="1" t="s">
        <v>308</v>
      </c>
      <c r="C181" s="1">
        <v>1</v>
      </c>
      <c r="D181" s="1">
        <v>2</v>
      </c>
      <c r="E181" s="1" t="s">
        <v>1944</v>
      </c>
      <c r="F181" s="1" t="s">
        <v>729</v>
      </c>
      <c r="G181" s="1" t="s">
        <v>1959</v>
      </c>
      <c r="H181" s="1" t="str">
        <f t="shared" si="2"/>
        <v>prc_hicp_midx_CP02124</v>
      </c>
      <c r="I181" s="1" t="s">
        <v>728</v>
      </c>
      <c r="K181" s="1" t="s">
        <v>1940</v>
      </c>
      <c r="L181" s="1" t="s">
        <v>1483</v>
      </c>
      <c r="M181" s="1" t="s">
        <v>1482</v>
      </c>
      <c r="N181" s="1" t="s">
        <v>725</v>
      </c>
      <c r="Q181" s="1" t="s">
        <v>724</v>
      </c>
      <c r="S181" s="1" t="s">
        <v>1905</v>
      </c>
    </row>
    <row r="182" spans="1:19" ht="12.75" x14ac:dyDescent="0.2">
      <c r="A182" s="1" t="s">
        <v>308</v>
      </c>
      <c r="B182" s="1" t="s">
        <v>308</v>
      </c>
      <c r="C182" s="1">
        <v>1</v>
      </c>
      <c r="D182" s="1">
        <v>2</v>
      </c>
      <c r="E182" s="1" t="s">
        <v>1944</v>
      </c>
      <c r="F182" s="1" t="s">
        <v>729</v>
      </c>
      <c r="G182" s="1" t="s">
        <v>1959</v>
      </c>
      <c r="H182" s="1" t="str">
        <f t="shared" si="2"/>
        <v>prc_hicp_midx_CP0213</v>
      </c>
      <c r="I182" s="1" t="s">
        <v>728</v>
      </c>
      <c r="K182" s="1" t="s">
        <v>1940</v>
      </c>
      <c r="L182" s="1" t="s">
        <v>1481</v>
      </c>
      <c r="M182" s="1" t="s">
        <v>1480</v>
      </c>
      <c r="N182" s="1" t="s">
        <v>725</v>
      </c>
      <c r="Q182" s="1" t="s">
        <v>724</v>
      </c>
      <c r="S182" s="1" t="s">
        <v>1905</v>
      </c>
    </row>
    <row r="183" spans="1:19" ht="12.75" x14ac:dyDescent="0.2">
      <c r="A183" s="1" t="s">
        <v>308</v>
      </c>
      <c r="B183" s="1" t="s">
        <v>308</v>
      </c>
      <c r="C183" s="1">
        <v>1</v>
      </c>
      <c r="D183" s="1">
        <v>2</v>
      </c>
      <c r="E183" s="1" t="s">
        <v>1944</v>
      </c>
      <c r="F183" s="1" t="s">
        <v>729</v>
      </c>
      <c r="G183" s="1" t="s">
        <v>1959</v>
      </c>
      <c r="H183" s="1" t="str">
        <f t="shared" si="2"/>
        <v>prc_hicp_midx_CP02131</v>
      </c>
      <c r="I183" s="1" t="s">
        <v>728</v>
      </c>
      <c r="K183" s="1" t="s">
        <v>1940</v>
      </c>
      <c r="L183" s="1" t="s">
        <v>1479</v>
      </c>
      <c r="M183" s="1" t="s">
        <v>1478</v>
      </c>
      <c r="N183" s="1" t="s">
        <v>725</v>
      </c>
      <c r="Q183" s="1" t="s">
        <v>724</v>
      </c>
      <c r="S183" s="1" t="s">
        <v>1905</v>
      </c>
    </row>
    <row r="184" spans="1:19" ht="12.75" x14ac:dyDescent="0.2">
      <c r="A184" s="1" t="s">
        <v>308</v>
      </c>
      <c r="B184" s="1" t="s">
        <v>308</v>
      </c>
      <c r="C184" s="1">
        <v>1</v>
      </c>
      <c r="D184" s="1">
        <v>2</v>
      </c>
      <c r="E184" s="1" t="s">
        <v>1944</v>
      </c>
      <c r="F184" s="1" t="s">
        <v>729</v>
      </c>
      <c r="G184" s="1" t="s">
        <v>1959</v>
      </c>
      <c r="H184" s="1" t="str">
        <f t="shared" si="2"/>
        <v>prc_hicp_midx_CP02132</v>
      </c>
      <c r="I184" s="1" t="s">
        <v>728</v>
      </c>
      <c r="K184" s="1" t="s">
        <v>1940</v>
      </c>
      <c r="L184" s="1" t="s">
        <v>1477</v>
      </c>
      <c r="M184" s="1" t="s">
        <v>1476</v>
      </c>
      <c r="N184" s="1" t="s">
        <v>725</v>
      </c>
      <c r="Q184" s="1" t="s">
        <v>724</v>
      </c>
      <c r="S184" s="1" t="s">
        <v>1905</v>
      </c>
    </row>
    <row r="185" spans="1:19" ht="12.75" x14ac:dyDescent="0.2">
      <c r="A185" s="1" t="s">
        <v>308</v>
      </c>
      <c r="B185" s="1" t="s">
        <v>308</v>
      </c>
      <c r="C185" s="1">
        <v>1</v>
      </c>
      <c r="D185" s="1">
        <v>2</v>
      </c>
      <c r="E185" s="1" t="s">
        <v>1944</v>
      </c>
      <c r="F185" s="1" t="s">
        <v>729</v>
      </c>
      <c r="G185" s="1" t="s">
        <v>1959</v>
      </c>
      <c r="H185" s="1" t="str">
        <f t="shared" si="2"/>
        <v>prc_hicp_midx_CP02133</v>
      </c>
      <c r="I185" s="1" t="s">
        <v>728</v>
      </c>
      <c r="K185" s="1" t="s">
        <v>1940</v>
      </c>
      <c r="L185" s="1" t="s">
        <v>1475</v>
      </c>
      <c r="M185" s="1" t="s">
        <v>1474</v>
      </c>
      <c r="N185" s="1" t="s">
        <v>725</v>
      </c>
      <c r="Q185" s="1" t="s">
        <v>724</v>
      </c>
      <c r="S185" s="1" t="s">
        <v>1905</v>
      </c>
    </row>
    <row r="186" spans="1:19" ht="12.75" x14ac:dyDescent="0.2">
      <c r="A186" s="1" t="s">
        <v>308</v>
      </c>
      <c r="B186" s="1" t="s">
        <v>308</v>
      </c>
      <c r="C186" s="1">
        <v>1</v>
      </c>
      <c r="D186" s="1">
        <v>2</v>
      </c>
      <c r="E186" s="1" t="s">
        <v>1944</v>
      </c>
      <c r="F186" s="1" t="s">
        <v>729</v>
      </c>
      <c r="G186" s="1" t="s">
        <v>1959</v>
      </c>
      <c r="H186" s="1" t="str">
        <f t="shared" si="2"/>
        <v>prc_hicp_midx_CP02134</v>
      </c>
      <c r="I186" s="1" t="s">
        <v>728</v>
      </c>
      <c r="K186" s="1" t="s">
        <v>1940</v>
      </c>
      <c r="L186" s="1" t="s">
        <v>1473</v>
      </c>
      <c r="M186" s="1" t="s">
        <v>1472</v>
      </c>
      <c r="N186" s="1" t="s">
        <v>725</v>
      </c>
      <c r="Q186" s="1" t="s">
        <v>724</v>
      </c>
      <c r="S186" s="1" t="s">
        <v>1905</v>
      </c>
    </row>
    <row r="187" spans="1:19" ht="12.75" x14ac:dyDescent="0.2">
      <c r="A187" s="1" t="s">
        <v>308</v>
      </c>
      <c r="B187" s="1" t="s">
        <v>308</v>
      </c>
      <c r="C187" s="1">
        <v>1</v>
      </c>
      <c r="D187" s="1">
        <v>2</v>
      </c>
      <c r="E187" s="1" t="s">
        <v>1944</v>
      </c>
      <c r="F187" s="1" t="s">
        <v>729</v>
      </c>
      <c r="G187" s="1" t="s">
        <v>1959</v>
      </c>
      <c r="H187" s="1" t="str">
        <f t="shared" si="2"/>
        <v>prc_hicp_midx_CP022</v>
      </c>
      <c r="I187" s="1" t="s">
        <v>728</v>
      </c>
      <c r="K187" s="1" t="s">
        <v>1940</v>
      </c>
      <c r="L187" s="1" t="s">
        <v>1471</v>
      </c>
      <c r="M187" s="1" t="s">
        <v>1470</v>
      </c>
      <c r="N187" s="1" t="s">
        <v>725</v>
      </c>
      <c r="Q187" s="1" t="s">
        <v>724</v>
      </c>
      <c r="S187" s="1" t="s">
        <v>1905</v>
      </c>
    </row>
    <row r="188" spans="1:19" ht="12.75" x14ac:dyDescent="0.2">
      <c r="A188" s="1" t="s">
        <v>308</v>
      </c>
      <c r="B188" s="1" t="s">
        <v>308</v>
      </c>
      <c r="C188" s="1">
        <v>1</v>
      </c>
      <c r="D188" s="1">
        <v>2</v>
      </c>
      <c r="E188" s="1" t="s">
        <v>1944</v>
      </c>
      <c r="F188" s="1" t="s">
        <v>729</v>
      </c>
      <c r="G188" s="1" t="s">
        <v>1959</v>
      </c>
      <c r="H188" s="1" t="str">
        <f t="shared" si="2"/>
        <v>prc_hicp_midx_CP02201</v>
      </c>
      <c r="I188" s="1" t="s">
        <v>728</v>
      </c>
      <c r="K188" s="1" t="s">
        <v>1940</v>
      </c>
      <c r="L188" s="1" t="s">
        <v>1469</v>
      </c>
      <c r="M188" s="1" t="s">
        <v>1468</v>
      </c>
      <c r="N188" s="1" t="s">
        <v>725</v>
      </c>
      <c r="Q188" s="1" t="s">
        <v>724</v>
      </c>
      <c r="S188" s="1" t="s">
        <v>1905</v>
      </c>
    </row>
    <row r="189" spans="1:19" ht="12.75" x14ac:dyDescent="0.2">
      <c r="A189" s="1" t="s">
        <v>308</v>
      </c>
      <c r="B189" s="1" t="s">
        <v>308</v>
      </c>
      <c r="C189" s="1">
        <v>1</v>
      </c>
      <c r="D189" s="1">
        <v>2</v>
      </c>
      <c r="E189" s="1" t="s">
        <v>1944</v>
      </c>
      <c r="F189" s="1" t="s">
        <v>729</v>
      </c>
      <c r="G189" s="1" t="s">
        <v>1959</v>
      </c>
      <c r="H189" s="1" t="str">
        <f t="shared" si="2"/>
        <v>prc_hicp_midx_CP02202</v>
      </c>
      <c r="I189" s="1" t="s">
        <v>728</v>
      </c>
      <c r="K189" s="1" t="s">
        <v>1940</v>
      </c>
      <c r="L189" s="1" t="s">
        <v>1467</v>
      </c>
      <c r="M189" s="1" t="s">
        <v>1466</v>
      </c>
      <c r="N189" s="1" t="s">
        <v>725</v>
      </c>
      <c r="Q189" s="1" t="s">
        <v>724</v>
      </c>
      <c r="S189" s="1" t="s">
        <v>1905</v>
      </c>
    </row>
    <row r="190" spans="1:19" ht="12.75" x14ac:dyDescent="0.2">
      <c r="A190" s="1" t="s">
        <v>308</v>
      </c>
      <c r="B190" s="1" t="s">
        <v>308</v>
      </c>
      <c r="C190" s="1">
        <v>1</v>
      </c>
      <c r="D190" s="1">
        <v>2</v>
      </c>
      <c r="E190" s="1" t="s">
        <v>1944</v>
      </c>
      <c r="F190" s="1" t="s">
        <v>729</v>
      </c>
      <c r="G190" s="1" t="s">
        <v>1959</v>
      </c>
      <c r="H190" s="1" t="str">
        <f t="shared" si="2"/>
        <v>prc_hicp_midx_CP02203</v>
      </c>
      <c r="I190" s="1" t="s">
        <v>728</v>
      </c>
      <c r="K190" s="1" t="s">
        <v>1940</v>
      </c>
      <c r="L190" s="1" t="s">
        <v>1465</v>
      </c>
      <c r="M190" s="1" t="s">
        <v>1464</v>
      </c>
      <c r="N190" s="1" t="s">
        <v>725</v>
      </c>
      <c r="Q190" s="1" t="s">
        <v>724</v>
      </c>
      <c r="S190" s="1" t="s">
        <v>1905</v>
      </c>
    </row>
    <row r="191" spans="1:19" ht="12.75" x14ac:dyDescent="0.2">
      <c r="A191" s="1" t="s">
        <v>308</v>
      </c>
      <c r="B191" s="1" t="s">
        <v>308</v>
      </c>
      <c r="C191" s="1">
        <v>1</v>
      </c>
      <c r="D191" s="1">
        <v>2</v>
      </c>
      <c r="E191" s="1" t="s">
        <v>1944</v>
      </c>
      <c r="F191" s="1" t="s">
        <v>729</v>
      </c>
      <c r="G191" s="1" t="s">
        <v>1959</v>
      </c>
      <c r="H191" s="1" t="str">
        <f t="shared" si="2"/>
        <v>prc_hicp_midx_CP03</v>
      </c>
      <c r="I191" s="1" t="s">
        <v>728</v>
      </c>
      <c r="K191" s="1" t="s">
        <v>1940</v>
      </c>
      <c r="L191" s="1" t="s">
        <v>1463</v>
      </c>
      <c r="M191" s="1" t="s">
        <v>1462</v>
      </c>
      <c r="N191" s="1" t="s">
        <v>725</v>
      </c>
      <c r="Q191" s="1" t="s">
        <v>724</v>
      </c>
      <c r="S191" s="1" t="s">
        <v>1905</v>
      </c>
    </row>
    <row r="192" spans="1:19" ht="12.75" x14ac:dyDescent="0.2">
      <c r="A192" s="1" t="s">
        <v>308</v>
      </c>
      <c r="B192" s="1" t="s">
        <v>308</v>
      </c>
      <c r="C192" s="1">
        <v>1</v>
      </c>
      <c r="D192" s="1">
        <v>2</v>
      </c>
      <c r="E192" s="1" t="s">
        <v>1944</v>
      </c>
      <c r="F192" s="1" t="s">
        <v>729</v>
      </c>
      <c r="G192" s="1" t="s">
        <v>1959</v>
      </c>
      <c r="H192" s="1" t="str">
        <f t="shared" si="2"/>
        <v>prc_hicp_midx_CP031</v>
      </c>
      <c r="I192" s="1" t="s">
        <v>728</v>
      </c>
      <c r="K192" s="1" t="s">
        <v>1940</v>
      </c>
      <c r="L192" s="1" t="s">
        <v>1461</v>
      </c>
      <c r="M192" s="1" t="s">
        <v>1460</v>
      </c>
      <c r="N192" s="1" t="s">
        <v>725</v>
      </c>
      <c r="Q192" s="1" t="s">
        <v>724</v>
      </c>
      <c r="S192" s="1" t="s">
        <v>1905</v>
      </c>
    </row>
    <row r="193" spans="1:19" ht="12.75" x14ac:dyDescent="0.2">
      <c r="A193" s="1" t="s">
        <v>308</v>
      </c>
      <c r="B193" s="1" t="s">
        <v>308</v>
      </c>
      <c r="C193" s="1">
        <v>1</v>
      </c>
      <c r="D193" s="1">
        <v>2</v>
      </c>
      <c r="E193" s="1" t="s">
        <v>1944</v>
      </c>
      <c r="F193" s="1" t="s">
        <v>729</v>
      </c>
      <c r="G193" s="1" t="s">
        <v>1959</v>
      </c>
      <c r="H193" s="1" t="str">
        <f t="shared" si="2"/>
        <v>prc_hicp_midx_CP0311</v>
      </c>
      <c r="I193" s="1" t="s">
        <v>728</v>
      </c>
      <c r="K193" s="1" t="s">
        <v>1940</v>
      </c>
      <c r="L193" s="1" t="s">
        <v>1459</v>
      </c>
      <c r="M193" s="1" t="s">
        <v>1458</v>
      </c>
      <c r="N193" s="1" t="s">
        <v>725</v>
      </c>
      <c r="Q193" s="1" t="s">
        <v>724</v>
      </c>
      <c r="S193" s="1" t="s">
        <v>1905</v>
      </c>
    </row>
    <row r="194" spans="1:19" ht="12.75" x14ac:dyDescent="0.2">
      <c r="A194" s="1" t="s">
        <v>308</v>
      </c>
      <c r="B194" s="1" t="s">
        <v>308</v>
      </c>
      <c r="C194" s="1">
        <v>1</v>
      </c>
      <c r="D194" s="1">
        <v>2</v>
      </c>
      <c r="E194" s="1" t="s">
        <v>1944</v>
      </c>
      <c r="F194" s="1" t="s">
        <v>729</v>
      </c>
      <c r="G194" s="1" t="s">
        <v>1959</v>
      </c>
      <c r="H194" s="1" t="str">
        <f t="shared" si="2"/>
        <v>prc_hicp_midx_CP0312</v>
      </c>
      <c r="I194" s="1" t="s">
        <v>728</v>
      </c>
      <c r="K194" s="1" t="s">
        <v>1940</v>
      </c>
      <c r="L194" s="1" t="s">
        <v>1457</v>
      </c>
      <c r="M194" s="1" t="s">
        <v>1456</v>
      </c>
      <c r="N194" s="1" t="s">
        <v>725</v>
      </c>
      <c r="Q194" s="1" t="s">
        <v>724</v>
      </c>
      <c r="S194" s="1" t="s">
        <v>1905</v>
      </c>
    </row>
    <row r="195" spans="1:19" ht="12.75" x14ac:dyDescent="0.2">
      <c r="A195" s="1" t="s">
        <v>308</v>
      </c>
      <c r="B195" s="1" t="s">
        <v>308</v>
      </c>
      <c r="C195" s="1">
        <v>1</v>
      </c>
      <c r="D195" s="1">
        <v>2</v>
      </c>
      <c r="E195" s="1" t="s">
        <v>1944</v>
      </c>
      <c r="F195" s="1" t="s">
        <v>729</v>
      </c>
      <c r="G195" s="1" t="s">
        <v>1959</v>
      </c>
      <c r="H195" s="1" t="str">
        <f t="shared" ref="H195:H258" si="3">+I195&amp;"_"&amp;L195</f>
        <v>prc_hicp_midx_CP03121</v>
      </c>
      <c r="I195" s="1" t="s">
        <v>728</v>
      </c>
      <c r="K195" s="1" t="s">
        <v>1940</v>
      </c>
      <c r="L195" s="1" t="s">
        <v>1455</v>
      </c>
      <c r="M195" s="1" t="s">
        <v>1454</v>
      </c>
      <c r="N195" s="1" t="s">
        <v>725</v>
      </c>
      <c r="Q195" s="1" t="s">
        <v>724</v>
      </c>
      <c r="S195" s="1" t="s">
        <v>1905</v>
      </c>
    </row>
    <row r="196" spans="1:19" ht="12.75" x14ac:dyDescent="0.2">
      <c r="A196" s="1" t="s">
        <v>308</v>
      </c>
      <c r="B196" s="1" t="s">
        <v>308</v>
      </c>
      <c r="C196" s="1">
        <v>1</v>
      </c>
      <c r="D196" s="1">
        <v>2</v>
      </c>
      <c r="E196" s="1" t="s">
        <v>1944</v>
      </c>
      <c r="F196" s="1" t="s">
        <v>729</v>
      </c>
      <c r="G196" s="1" t="s">
        <v>1959</v>
      </c>
      <c r="H196" s="1" t="str">
        <f t="shared" si="3"/>
        <v>prc_hicp_midx_CP03122</v>
      </c>
      <c r="I196" s="1" t="s">
        <v>728</v>
      </c>
      <c r="K196" s="1" t="s">
        <v>1940</v>
      </c>
      <c r="L196" s="1" t="s">
        <v>1453</v>
      </c>
      <c r="M196" s="1" t="s">
        <v>1452</v>
      </c>
      <c r="N196" s="1" t="s">
        <v>725</v>
      </c>
      <c r="Q196" s="1" t="s">
        <v>724</v>
      </c>
      <c r="S196" s="1" t="s">
        <v>1905</v>
      </c>
    </row>
    <row r="197" spans="1:19" ht="12.75" x14ac:dyDescent="0.2">
      <c r="A197" s="1" t="s">
        <v>308</v>
      </c>
      <c r="B197" s="1" t="s">
        <v>308</v>
      </c>
      <c r="C197" s="1">
        <v>1</v>
      </c>
      <c r="D197" s="1">
        <v>2</v>
      </c>
      <c r="E197" s="1" t="s">
        <v>1944</v>
      </c>
      <c r="F197" s="1" t="s">
        <v>729</v>
      </c>
      <c r="G197" s="1" t="s">
        <v>1959</v>
      </c>
      <c r="H197" s="1" t="str">
        <f t="shared" si="3"/>
        <v>prc_hicp_midx_CP03123</v>
      </c>
      <c r="I197" s="1" t="s">
        <v>728</v>
      </c>
      <c r="K197" s="1" t="s">
        <v>1940</v>
      </c>
      <c r="L197" s="1" t="s">
        <v>1451</v>
      </c>
      <c r="M197" s="1" t="s">
        <v>1450</v>
      </c>
      <c r="N197" s="1" t="s">
        <v>725</v>
      </c>
      <c r="Q197" s="1" t="s">
        <v>724</v>
      </c>
      <c r="S197" s="1" t="s">
        <v>1905</v>
      </c>
    </row>
    <row r="198" spans="1:19" ht="12.75" x14ac:dyDescent="0.2">
      <c r="A198" s="1" t="s">
        <v>308</v>
      </c>
      <c r="B198" s="1" t="s">
        <v>308</v>
      </c>
      <c r="C198" s="1">
        <v>1</v>
      </c>
      <c r="D198" s="1">
        <v>2</v>
      </c>
      <c r="E198" s="1" t="s">
        <v>1944</v>
      </c>
      <c r="F198" s="1" t="s">
        <v>729</v>
      </c>
      <c r="G198" s="1" t="s">
        <v>1959</v>
      </c>
      <c r="H198" s="1" t="str">
        <f t="shared" si="3"/>
        <v>prc_hicp_midx_CP0313</v>
      </c>
      <c r="I198" s="1" t="s">
        <v>728</v>
      </c>
      <c r="K198" s="1" t="s">
        <v>1940</v>
      </c>
      <c r="L198" s="1" t="s">
        <v>1449</v>
      </c>
      <c r="M198" s="1" t="s">
        <v>1448</v>
      </c>
      <c r="N198" s="1" t="s">
        <v>725</v>
      </c>
      <c r="Q198" s="1" t="s">
        <v>724</v>
      </c>
      <c r="S198" s="1" t="s">
        <v>1905</v>
      </c>
    </row>
    <row r="199" spans="1:19" ht="12.75" x14ac:dyDescent="0.2">
      <c r="A199" s="1" t="s">
        <v>308</v>
      </c>
      <c r="B199" s="1" t="s">
        <v>308</v>
      </c>
      <c r="C199" s="1">
        <v>1</v>
      </c>
      <c r="D199" s="1">
        <v>2</v>
      </c>
      <c r="E199" s="1" t="s">
        <v>1944</v>
      </c>
      <c r="F199" s="1" t="s">
        <v>729</v>
      </c>
      <c r="G199" s="1" t="s">
        <v>1959</v>
      </c>
      <c r="H199" s="1" t="str">
        <f t="shared" si="3"/>
        <v>prc_hicp_midx_CP03131</v>
      </c>
      <c r="I199" s="1" t="s">
        <v>728</v>
      </c>
      <c r="K199" s="1" t="s">
        <v>1940</v>
      </c>
      <c r="L199" s="1" t="s">
        <v>1447</v>
      </c>
      <c r="M199" s="1" t="s">
        <v>1446</v>
      </c>
      <c r="N199" s="1" t="s">
        <v>725</v>
      </c>
      <c r="Q199" s="1" t="s">
        <v>724</v>
      </c>
      <c r="S199" s="1" t="s">
        <v>1905</v>
      </c>
    </row>
    <row r="200" spans="1:19" ht="12.75" x14ac:dyDescent="0.2">
      <c r="A200" s="1" t="s">
        <v>308</v>
      </c>
      <c r="B200" s="1" t="s">
        <v>308</v>
      </c>
      <c r="C200" s="1">
        <v>1</v>
      </c>
      <c r="D200" s="1">
        <v>2</v>
      </c>
      <c r="E200" s="1" t="s">
        <v>1944</v>
      </c>
      <c r="F200" s="1" t="s">
        <v>729</v>
      </c>
      <c r="G200" s="1" t="s">
        <v>1959</v>
      </c>
      <c r="H200" s="1" t="str">
        <f t="shared" si="3"/>
        <v>prc_hicp_midx_CP03132</v>
      </c>
      <c r="I200" s="1" t="s">
        <v>728</v>
      </c>
      <c r="K200" s="1" t="s">
        <v>1940</v>
      </c>
      <c r="L200" s="1" t="s">
        <v>1445</v>
      </c>
      <c r="M200" s="1" t="s">
        <v>1444</v>
      </c>
      <c r="N200" s="1" t="s">
        <v>725</v>
      </c>
      <c r="Q200" s="1" t="s">
        <v>724</v>
      </c>
      <c r="S200" s="1" t="s">
        <v>1905</v>
      </c>
    </row>
    <row r="201" spans="1:19" ht="12.75" x14ac:dyDescent="0.2">
      <c r="A201" s="1" t="s">
        <v>308</v>
      </c>
      <c r="B201" s="1" t="s">
        <v>308</v>
      </c>
      <c r="C201" s="1">
        <v>1</v>
      </c>
      <c r="D201" s="1">
        <v>2</v>
      </c>
      <c r="E201" s="1" t="s">
        <v>1944</v>
      </c>
      <c r="F201" s="1" t="s">
        <v>729</v>
      </c>
      <c r="G201" s="1" t="s">
        <v>1959</v>
      </c>
      <c r="H201" s="1" t="str">
        <f t="shared" si="3"/>
        <v>prc_hicp_midx_CP0314</v>
      </c>
      <c r="I201" s="1" t="s">
        <v>728</v>
      </c>
      <c r="K201" s="1" t="s">
        <v>1940</v>
      </c>
      <c r="L201" s="1" t="s">
        <v>1443</v>
      </c>
      <c r="M201" s="1" t="s">
        <v>1442</v>
      </c>
      <c r="N201" s="1" t="s">
        <v>725</v>
      </c>
      <c r="Q201" s="1" t="s">
        <v>724</v>
      </c>
      <c r="S201" s="1" t="s">
        <v>1905</v>
      </c>
    </row>
    <row r="202" spans="1:19" ht="12.75" x14ac:dyDescent="0.2">
      <c r="A202" s="1" t="s">
        <v>308</v>
      </c>
      <c r="B202" s="1" t="s">
        <v>308</v>
      </c>
      <c r="C202" s="1">
        <v>1</v>
      </c>
      <c r="D202" s="1">
        <v>2</v>
      </c>
      <c r="E202" s="1" t="s">
        <v>1944</v>
      </c>
      <c r="F202" s="1" t="s">
        <v>729</v>
      </c>
      <c r="G202" s="1" t="s">
        <v>1959</v>
      </c>
      <c r="H202" s="1" t="str">
        <f t="shared" si="3"/>
        <v>prc_hicp_midx_CP03141</v>
      </c>
      <c r="I202" s="1" t="s">
        <v>728</v>
      </c>
      <c r="K202" s="1" t="s">
        <v>1940</v>
      </c>
      <c r="L202" s="1" t="s">
        <v>1441</v>
      </c>
      <c r="M202" s="1" t="s">
        <v>1440</v>
      </c>
      <c r="N202" s="1" t="s">
        <v>725</v>
      </c>
      <c r="Q202" s="1" t="s">
        <v>724</v>
      </c>
      <c r="S202" s="1" t="s">
        <v>1905</v>
      </c>
    </row>
    <row r="203" spans="1:19" ht="12.75" x14ac:dyDescent="0.2">
      <c r="A203" s="1" t="s">
        <v>308</v>
      </c>
      <c r="B203" s="1" t="s">
        <v>308</v>
      </c>
      <c r="C203" s="1">
        <v>1</v>
      </c>
      <c r="D203" s="1">
        <v>2</v>
      </c>
      <c r="E203" s="1" t="s">
        <v>1944</v>
      </c>
      <c r="F203" s="1" t="s">
        <v>729</v>
      </c>
      <c r="G203" s="1" t="s">
        <v>1959</v>
      </c>
      <c r="H203" s="1" t="str">
        <f t="shared" si="3"/>
        <v>prc_hicp_midx_CP03142</v>
      </c>
      <c r="I203" s="1" t="s">
        <v>728</v>
      </c>
      <c r="K203" s="1" t="s">
        <v>1940</v>
      </c>
      <c r="L203" s="1" t="s">
        <v>1439</v>
      </c>
      <c r="M203" s="1" t="s">
        <v>1438</v>
      </c>
      <c r="N203" s="1" t="s">
        <v>725</v>
      </c>
      <c r="Q203" s="1" t="s">
        <v>724</v>
      </c>
      <c r="S203" s="1" t="s">
        <v>1905</v>
      </c>
    </row>
    <row r="204" spans="1:19" ht="12.75" x14ac:dyDescent="0.2">
      <c r="A204" s="1" t="s">
        <v>308</v>
      </c>
      <c r="B204" s="1" t="s">
        <v>308</v>
      </c>
      <c r="C204" s="1">
        <v>1</v>
      </c>
      <c r="D204" s="1">
        <v>2</v>
      </c>
      <c r="E204" s="1" t="s">
        <v>1944</v>
      </c>
      <c r="F204" s="1" t="s">
        <v>729</v>
      </c>
      <c r="G204" s="1" t="s">
        <v>1959</v>
      </c>
      <c r="H204" s="1" t="str">
        <f t="shared" si="3"/>
        <v>prc_hicp_midx_CP032</v>
      </c>
      <c r="I204" s="1" t="s">
        <v>728</v>
      </c>
      <c r="K204" s="1" t="s">
        <v>1940</v>
      </c>
      <c r="L204" s="1" t="s">
        <v>1437</v>
      </c>
      <c r="M204" s="1" t="s">
        <v>1436</v>
      </c>
      <c r="N204" s="1" t="s">
        <v>725</v>
      </c>
      <c r="Q204" s="1" t="s">
        <v>724</v>
      </c>
      <c r="S204" s="1" t="s">
        <v>1905</v>
      </c>
    </row>
    <row r="205" spans="1:19" ht="12.75" x14ac:dyDescent="0.2">
      <c r="A205" s="1" t="s">
        <v>308</v>
      </c>
      <c r="B205" s="1" t="s">
        <v>308</v>
      </c>
      <c r="C205" s="1">
        <v>1</v>
      </c>
      <c r="D205" s="1">
        <v>2</v>
      </c>
      <c r="E205" s="1" t="s">
        <v>1944</v>
      </c>
      <c r="F205" s="1" t="s">
        <v>729</v>
      </c>
      <c r="G205" s="1" t="s">
        <v>1959</v>
      </c>
      <c r="H205" s="1" t="str">
        <f t="shared" si="3"/>
        <v>prc_hicp_midx_CP0321</v>
      </c>
      <c r="I205" s="1" t="s">
        <v>728</v>
      </c>
      <c r="K205" s="1" t="s">
        <v>1940</v>
      </c>
      <c r="L205" s="1" t="s">
        <v>1435</v>
      </c>
      <c r="M205" s="1" t="s">
        <v>1434</v>
      </c>
      <c r="N205" s="1" t="s">
        <v>725</v>
      </c>
      <c r="Q205" s="1" t="s">
        <v>724</v>
      </c>
      <c r="S205" s="1" t="s">
        <v>1905</v>
      </c>
    </row>
    <row r="206" spans="1:19" ht="12.75" x14ac:dyDescent="0.2">
      <c r="A206" s="1" t="s">
        <v>308</v>
      </c>
      <c r="B206" s="1" t="s">
        <v>308</v>
      </c>
      <c r="C206" s="1">
        <v>1</v>
      </c>
      <c r="D206" s="1">
        <v>2</v>
      </c>
      <c r="E206" s="1" t="s">
        <v>1944</v>
      </c>
      <c r="F206" s="1" t="s">
        <v>729</v>
      </c>
      <c r="G206" s="1" t="s">
        <v>1959</v>
      </c>
      <c r="H206" s="1" t="str">
        <f t="shared" si="3"/>
        <v>prc_hicp_midx_CP03211</v>
      </c>
      <c r="I206" s="1" t="s">
        <v>728</v>
      </c>
      <c r="K206" s="1" t="s">
        <v>1940</v>
      </c>
      <c r="L206" s="1" t="s">
        <v>1433</v>
      </c>
      <c r="M206" s="1" t="s">
        <v>1432</v>
      </c>
      <c r="N206" s="1" t="s">
        <v>725</v>
      </c>
      <c r="Q206" s="1" t="s">
        <v>724</v>
      </c>
      <c r="S206" s="1" t="s">
        <v>1905</v>
      </c>
    </row>
    <row r="207" spans="1:19" ht="12.75" x14ac:dyDescent="0.2">
      <c r="A207" s="1" t="s">
        <v>308</v>
      </c>
      <c r="B207" s="1" t="s">
        <v>308</v>
      </c>
      <c r="C207" s="1">
        <v>1</v>
      </c>
      <c r="D207" s="1">
        <v>2</v>
      </c>
      <c r="E207" s="1" t="s">
        <v>1944</v>
      </c>
      <c r="F207" s="1" t="s">
        <v>729</v>
      </c>
      <c r="G207" s="1" t="s">
        <v>1959</v>
      </c>
      <c r="H207" s="1" t="str">
        <f t="shared" si="3"/>
        <v>prc_hicp_midx_CP03212</v>
      </c>
      <c r="I207" s="1" t="s">
        <v>728</v>
      </c>
      <c r="K207" s="1" t="s">
        <v>1940</v>
      </c>
      <c r="L207" s="1" t="s">
        <v>1431</v>
      </c>
      <c r="M207" s="1" t="s">
        <v>1430</v>
      </c>
      <c r="N207" s="1" t="s">
        <v>725</v>
      </c>
      <c r="Q207" s="1" t="s">
        <v>724</v>
      </c>
      <c r="S207" s="1" t="s">
        <v>1905</v>
      </c>
    </row>
    <row r="208" spans="1:19" ht="12.75" x14ac:dyDescent="0.2">
      <c r="A208" s="1" t="s">
        <v>308</v>
      </c>
      <c r="B208" s="1" t="s">
        <v>308</v>
      </c>
      <c r="C208" s="1">
        <v>1</v>
      </c>
      <c r="D208" s="1">
        <v>2</v>
      </c>
      <c r="E208" s="1" t="s">
        <v>1944</v>
      </c>
      <c r="F208" s="1" t="s">
        <v>729</v>
      </c>
      <c r="G208" s="1" t="s">
        <v>1959</v>
      </c>
      <c r="H208" s="1" t="str">
        <f t="shared" si="3"/>
        <v>prc_hicp_midx_CP03213</v>
      </c>
      <c r="I208" s="1" t="s">
        <v>728</v>
      </c>
      <c r="K208" s="1" t="s">
        <v>1940</v>
      </c>
      <c r="L208" s="1" t="s">
        <v>1429</v>
      </c>
      <c r="M208" s="1" t="s">
        <v>1428</v>
      </c>
      <c r="N208" s="1" t="s">
        <v>725</v>
      </c>
      <c r="Q208" s="1" t="s">
        <v>724</v>
      </c>
      <c r="S208" s="1" t="s">
        <v>1905</v>
      </c>
    </row>
    <row r="209" spans="1:19" ht="12.75" x14ac:dyDescent="0.2">
      <c r="A209" s="1" t="s">
        <v>308</v>
      </c>
      <c r="B209" s="1" t="s">
        <v>308</v>
      </c>
      <c r="C209" s="1">
        <v>1</v>
      </c>
      <c r="D209" s="1">
        <v>2</v>
      </c>
      <c r="E209" s="1" t="s">
        <v>1944</v>
      </c>
      <c r="F209" s="1" t="s">
        <v>729</v>
      </c>
      <c r="G209" s="1" t="s">
        <v>1959</v>
      </c>
      <c r="H209" s="1" t="str">
        <f t="shared" si="3"/>
        <v>prc_hicp_midx_CP0322</v>
      </c>
      <c r="I209" s="1" t="s">
        <v>728</v>
      </c>
      <c r="K209" s="1" t="s">
        <v>1940</v>
      </c>
      <c r="L209" s="1" t="s">
        <v>1427</v>
      </c>
      <c r="M209" s="1" t="s">
        <v>1426</v>
      </c>
      <c r="N209" s="1" t="s">
        <v>725</v>
      </c>
      <c r="Q209" s="1" t="s">
        <v>724</v>
      </c>
      <c r="S209" s="1" t="s">
        <v>1905</v>
      </c>
    </row>
    <row r="210" spans="1:19" ht="12.75" x14ac:dyDescent="0.2">
      <c r="A210" s="1" t="s">
        <v>308</v>
      </c>
      <c r="B210" s="1" t="s">
        <v>308</v>
      </c>
      <c r="C210" s="1">
        <v>1</v>
      </c>
      <c r="D210" s="1">
        <v>2</v>
      </c>
      <c r="E210" s="1" t="s">
        <v>1944</v>
      </c>
      <c r="F210" s="1" t="s">
        <v>729</v>
      </c>
      <c r="G210" s="1" t="s">
        <v>1959</v>
      </c>
      <c r="H210" s="1" t="str">
        <f t="shared" si="3"/>
        <v>prc_hicp_midx_CP04</v>
      </c>
      <c r="I210" s="1" t="s">
        <v>728</v>
      </c>
      <c r="K210" s="1" t="s">
        <v>1940</v>
      </c>
      <c r="L210" s="1" t="s">
        <v>1425</v>
      </c>
      <c r="M210" s="1" t="s">
        <v>1424</v>
      </c>
      <c r="N210" s="1" t="s">
        <v>725</v>
      </c>
      <c r="Q210" s="1" t="s">
        <v>724</v>
      </c>
      <c r="S210" s="1" t="s">
        <v>1905</v>
      </c>
    </row>
    <row r="211" spans="1:19" ht="12.75" x14ac:dyDescent="0.2">
      <c r="A211" s="1" t="s">
        <v>308</v>
      </c>
      <c r="B211" s="1" t="s">
        <v>308</v>
      </c>
      <c r="C211" s="1">
        <v>1</v>
      </c>
      <c r="D211" s="1">
        <v>2</v>
      </c>
      <c r="E211" s="1" t="s">
        <v>1944</v>
      </c>
      <c r="F211" s="1" t="s">
        <v>729</v>
      </c>
      <c r="G211" s="1" t="s">
        <v>1959</v>
      </c>
      <c r="H211" s="1" t="str">
        <f t="shared" si="3"/>
        <v>prc_hicp_midx_CP041</v>
      </c>
      <c r="I211" s="1" t="s">
        <v>728</v>
      </c>
      <c r="K211" s="1" t="s">
        <v>1940</v>
      </c>
      <c r="L211" s="1" t="s">
        <v>1423</v>
      </c>
      <c r="M211" s="1" t="s">
        <v>1422</v>
      </c>
      <c r="N211" s="1" t="s">
        <v>725</v>
      </c>
      <c r="Q211" s="1" t="s">
        <v>724</v>
      </c>
      <c r="S211" s="1" t="s">
        <v>1905</v>
      </c>
    </row>
    <row r="212" spans="1:19" ht="12.75" x14ac:dyDescent="0.2">
      <c r="A212" s="1" t="s">
        <v>308</v>
      </c>
      <c r="B212" s="1" t="s">
        <v>308</v>
      </c>
      <c r="C212" s="1">
        <v>1</v>
      </c>
      <c r="D212" s="1">
        <v>2</v>
      </c>
      <c r="E212" s="1" t="s">
        <v>1944</v>
      </c>
      <c r="F212" s="1" t="s">
        <v>729</v>
      </c>
      <c r="G212" s="1" t="s">
        <v>1959</v>
      </c>
      <c r="H212" s="1" t="str">
        <f t="shared" si="3"/>
        <v>prc_hicp_midx_CP0411</v>
      </c>
      <c r="I212" s="1" t="s">
        <v>728</v>
      </c>
      <c r="K212" s="1" t="s">
        <v>1940</v>
      </c>
      <c r="L212" s="1" t="s">
        <v>1421</v>
      </c>
      <c r="M212" s="1" t="s">
        <v>1420</v>
      </c>
      <c r="N212" s="1" t="s">
        <v>725</v>
      </c>
      <c r="Q212" s="1" t="s">
        <v>724</v>
      </c>
      <c r="S212" s="1" t="s">
        <v>1905</v>
      </c>
    </row>
    <row r="213" spans="1:19" ht="12.75" x14ac:dyDescent="0.2">
      <c r="A213" s="1" t="s">
        <v>308</v>
      </c>
      <c r="B213" s="1" t="s">
        <v>308</v>
      </c>
      <c r="C213" s="1">
        <v>1</v>
      </c>
      <c r="D213" s="1">
        <v>2</v>
      </c>
      <c r="E213" s="1" t="s">
        <v>1944</v>
      </c>
      <c r="F213" s="1" t="s">
        <v>729</v>
      </c>
      <c r="G213" s="1" t="s">
        <v>1959</v>
      </c>
      <c r="H213" s="1" t="str">
        <f t="shared" si="3"/>
        <v>prc_hicp_midx_CP0412</v>
      </c>
      <c r="I213" s="1" t="s">
        <v>728</v>
      </c>
      <c r="K213" s="1" t="s">
        <v>1940</v>
      </c>
      <c r="L213" s="1" t="s">
        <v>1419</v>
      </c>
      <c r="M213" s="1" t="s">
        <v>1418</v>
      </c>
      <c r="N213" s="1" t="s">
        <v>725</v>
      </c>
      <c r="Q213" s="1" t="s">
        <v>724</v>
      </c>
      <c r="S213" s="1" t="s">
        <v>1905</v>
      </c>
    </row>
    <row r="214" spans="1:19" ht="12.75" x14ac:dyDescent="0.2">
      <c r="A214" s="1" t="s">
        <v>308</v>
      </c>
      <c r="B214" s="1" t="s">
        <v>308</v>
      </c>
      <c r="C214" s="1">
        <v>1</v>
      </c>
      <c r="D214" s="1">
        <v>2</v>
      </c>
      <c r="E214" s="1" t="s">
        <v>1944</v>
      </c>
      <c r="F214" s="1" t="s">
        <v>729</v>
      </c>
      <c r="G214" s="1" t="s">
        <v>1959</v>
      </c>
      <c r="H214" s="1" t="str">
        <f t="shared" si="3"/>
        <v>prc_hicp_midx_CP04121</v>
      </c>
      <c r="I214" s="1" t="s">
        <v>728</v>
      </c>
      <c r="K214" s="1" t="s">
        <v>1940</v>
      </c>
      <c r="L214" s="1" t="s">
        <v>1417</v>
      </c>
      <c r="M214" s="1" t="s">
        <v>1416</v>
      </c>
      <c r="N214" s="1" t="s">
        <v>725</v>
      </c>
      <c r="Q214" s="1" t="s">
        <v>724</v>
      </c>
      <c r="S214" s="1" t="s">
        <v>1905</v>
      </c>
    </row>
    <row r="215" spans="1:19" ht="12.75" x14ac:dyDescent="0.2">
      <c r="A215" s="1" t="s">
        <v>308</v>
      </c>
      <c r="B215" s="1" t="s">
        <v>308</v>
      </c>
      <c r="C215" s="1">
        <v>1</v>
      </c>
      <c r="D215" s="1">
        <v>2</v>
      </c>
      <c r="E215" s="1" t="s">
        <v>1944</v>
      </c>
      <c r="F215" s="1" t="s">
        <v>729</v>
      </c>
      <c r="G215" s="1" t="s">
        <v>1959</v>
      </c>
      <c r="H215" s="1" t="str">
        <f t="shared" si="3"/>
        <v>prc_hicp_midx_CP04122</v>
      </c>
      <c r="I215" s="1" t="s">
        <v>728</v>
      </c>
      <c r="K215" s="1" t="s">
        <v>1940</v>
      </c>
      <c r="L215" s="1" t="s">
        <v>1415</v>
      </c>
      <c r="M215" s="1" t="s">
        <v>1414</v>
      </c>
      <c r="N215" s="1" t="s">
        <v>725</v>
      </c>
      <c r="Q215" s="1" t="s">
        <v>724</v>
      </c>
      <c r="S215" s="1" t="s">
        <v>1905</v>
      </c>
    </row>
    <row r="216" spans="1:19" ht="12.75" x14ac:dyDescent="0.2">
      <c r="A216" s="1" t="s">
        <v>308</v>
      </c>
      <c r="B216" s="1" t="s">
        <v>308</v>
      </c>
      <c r="C216" s="1">
        <v>1</v>
      </c>
      <c r="D216" s="1">
        <v>2</v>
      </c>
      <c r="E216" s="1" t="s">
        <v>1944</v>
      </c>
      <c r="F216" s="1" t="s">
        <v>729</v>
      </c>
      <c r="G216" s="1" t="s">
        <v>1959</v>
      </c>
      <c r="H216" s="1" t="str">
        <f t="shared" si="3"/>
        <v>prc_hicp_midx_CP043</v>
      </c>
      <c r="I216" s="1" t="s">
        <v>728</v>
      </c>
      <c r="K216" s="1" t="s">
        <v>1940</v>
      </c>
      <c r="L216" s="1" t="s">
        <v>1413</v>
      </c>
      <c r="M216" s="1" t="s">
        <v>1412</v>
      </c>
      <c r="N216" s="1" t="s">
        <v>725</v>
      </c>
      <c r="Q216" s="1" t="s">
        <v>724</v>
      </c>
      <c r="S216" s="1" t="s">
        <v>1905</v>
      </c>
    </row>
    <row r="217" spans="1:19" ht="12.75" x14ac:dyDescent="0.2">
      <c r="A217" s="1" t="s">
        <v>308</v>
      </c>
      <c r="B217" s="1" t="s">
        <v>308</v>
      </c>
      <c r="C217" s="1">
        <v>1</v>
      </c>
      <c r="D217" s="1">
        <v>2</v>
      </c>
      <c r="E217" s="1" t="s">
        <v>1944</v>
      </c>
      <c r="F217" s="1" t="s">
        <v>729</v>
      </c>
      <c r="G217" s="1" t="s">
        <v>1959</v>
      </c>
      <c r="H217" s="1" t="str">
        <f t="shared" si="3"/>
        <v>prc_hicp_midx_CP0431</v>
      </c>
      <c r="I217" s="1" t="s">
        <v>728</v>
      </c>
      <c r="K217" s="1" t="s">
        <v>1940</v>
      </c>
      <c r="L217" s="1" t="s">
        <v>1411</v>
      </c>
      <c r="M217" s="1" t="s">
        <v>1410</v>
      </c>
      <c r="N217" s="1" t="s">
        <v>725</v>
      </c>
      <c r="Q217" s="1" t="s">
        <v>724</v>
      </c>
      <c r="S217" s="1" t="s">
        <v>1905</v>
      </c>
    </row>
    <row r="218" spans="1:19" ht="12.75" x14ac:dyDescent="0.2">
      <c r="A218" s="1" t="s">
        <v>308</v>
      </c>
      <c r="B218" s="1" t="s">
        <v>308</v>
      </c>
      <c r="C218" s="1">
        <v>1</v>
      </c>
      <c r="D218" s="1">
        <v>2</v>
      </c>
      <c r="E218" s="1" t="s">
        <v>1944</v>
      </c>
      <c r="F218" s="1" t="s">
        <v>729</v>
      </c>
      <c r="G218" s="1" t="s">
        <v>1959</v>
      </c>
      <c r="H218" s="1" t="str">
        <f t="shared" si="3"/>
        <v>prc_hicp_midx_CP0432</v>
      </c>
      <c r="I218" s="1" t="s">
        <v>728</v>
      </c>
      <c r="K218" s="1" t="s">
        <v>1940</v>
      </c>
      <c r="L218" s="1" t="s">
        <v>1409</v>
      </c>
      <c r="M218" s="1" t="s">
        <v>1408</v>
      </c>
      <c r="N218" s="1" t="s">
        <v>725</v>
      </c>
      <c r="Q218" s="1" t="s">
        <v>724</v>
      </c>
      <c r="S218" s="1" t="s">
        <v>1905</v>
      </c>
    </row>
    <row r="219" spans="1:19" ht="12.75" x14ac:dyDescent="0.2">
      <c r="A219" s="1" t="s">
        <v>308</v>
      </c>
      <c r="B219" s="1" t="s">
        <v>308</v>
      </c>
      <c r="C219" s="1">
        <v>1</v>
      </c>
      <c r="D219" s="1">
        <v>2</v>
      </c>
      <c r="E219" s="1" t="s">
        <v>1944</v>
      </c>
      <c r="F219" s="1" t="s">
        <v>729</v>
      </c>
      <c r="G219" s="1" t="s">
        <v>1959</v>
      </c>
      <c r="H219" s="1" t="str">
        <f t="shared" si="3"/>
        <v>prc_hicp_midx_CP04321</v>
      </c>
      <c r="I219" s="1" t="s">
        <v>728</v>
      </c>
      <c r="K219" s="1" t="s">
        <v>1940</v>
      </c>
      <c r="L219" s="1" t="s">
        <v>1407</v>
      </c>
      <c r="M219" s="1" t="s">
        <v>1406</v>
      </c>
      <c r="N219" s="1" t="s">
        <v>725</v>
      </c>
      <c r="Q219" s="1" t="s">
        <v>724</v>
      </c>
      <c r="S219" s="1" t="s">
        <v>1905</v>
      </c>
    </row>
    <row r="220" spans="1:19" ht="12.75" x14ac:dyDescent="0.2">
      <c r="A220" s="1" t="s">
        <v>308</v>
      </c>
      <c r="B220" s="1" t="s">
        <v>308</v>
      </c>
      <c r="C220" s="1">
        <v>1</v>
      </c>
      <c r="D220" s="1">
        <v>2</v>
      </c>
      <c r="E220" s="1" t="s">
        <v>1944</v>
      </c>
      <c r="F220" s="1" t="s">
        <v>729</v>
      </c>
      <c r="G220" s="1" t="s">
        <v>1959</v>
      </c>
      <c r="H220" s="1" t="str">
        <f t="shared" si="3"/>
        <v>prc_hicp_midx_CP04322</v>
      </c>
      <c r="I220" s="1" t="s">
        <v>728</v>
      </c>
      <c r="K220" s="1" t="s">
        <v>1940</v>
      </c>
      <c r="L220" s="1" t="s">
        <v>1405</v>
      </c>
      <c r="M220" s="1" t="s">
        <v>1404</v>
      </c>
      <c r="N220" s="1" t="s">
        <v>725</v>
      </c>
      <c r="Q220" s="1" t="s">
        <v>724</v>
      </c>
      <c r="S220" s="1" t="s">
        <v>1905</v>
      </c>
    </row>
    <row r="221" spans="1:19" ht="12.75" x14ac:dyDescent="0.2">
      <c r="A221" s="1" t="s">
        <v>308</v>
      </c>
      <c r="B221" s="1" t="s">
        <v>308</v>
      </c>
      <c r="C221" s="1">
        <v>1</v>
      </c>
      <c r="D221" s="1">
        <v>2</v>
      </c>
      <c r="E221" s="1" t="s">
        <v>1944</v>
      </c>
      <c r="F221" s="1" t="s">
        <v>729</v>
      </c>
      <c r="G221" s="1" t="s">
        <v>1959</v>
      </c>
      <c r="H221" s="1" t="str">
        <f t="shared" si="3"/>
        <v>prc_hicp_midx_CP04323</v>
      </c>
      <c r="I221" s="1" t="s">
        <v>728</v>
      </c>
      <c r="K221" s="1" t="s">
        <v>1940</v>
      </c>
      <c r="L221" s="1" t="s">
        <v>1403</v>
      </c>
      <c r="M221" s="1" t="s">
        <v>1402</v>
      </c>
      <c r="N221" s="1" t="s">
        <v>725</v>
      </c>
      <c r="Q221" s="1" t="s">
        <v>724</v>
      </c>
      <c r="S221" s="1" t="s">
        <v>1905</v>
      </c>
    </row>
    <row r="222" spans="1:19" ht="12.75" x14ac:dyDescent="0.2">
      <c r="A222" s="1" t="s">
        <v>308</v>
      </c>
      <c r="B222" s="1" t="s">
        <v>308</v>
      </c>
      <c r="C222" s="1">
        <v>1</v>
      </c>
      <c r="D222" s="1">
        <v>2</v>
      </c>
      <c r="E222" s="1" t="s">
        <v>1944</v>
      </c>
      <c r="F222" s="1" t="s">
        <v>729</v>
      </c>
      <c r="G222" s="1" t="s">
        <v>1959</v>
      </c>
      <c r="H222" s="1" t="str">
        <f t="shared" si="3"/>
        <v>prc_hicp_midx_CP04324</v>
      </c>
      <c r="I222" s="1" t="s">
        <v>728</v>
      </c>
      <c r="K222" s="1" t="s">
        <v>1940</v>
      </c>
      <c r="L222" s="1" t="s">
        <v>1401</v>
      </c>
      <c r="M222" s="1" t="s">
        <v>1400</v>
      </c>
      <c r="N222" s="1" t="s">
        <v>725</v>
      </c>
      <c r="Q222" s="1" t="s">
        <v>724</v>
      </c>
      <c r="S222" s="1" t="s">
        <v>1905</v>
      </c>
    </row>
    <row r="223" spans="1:19" ht="12.75" x14ac:dyDescent="0.2">
      <c r="A223" s="1" t="s">
        <v>308</v>
      </c>
      <c r="B223" s="1" t="s">
        <v>308</v>
      </c>
      <c r="C223" s="1">
        <v>1</v>
      </c>
      <c r="D223" s="1">
        <v>2</v>
      </c>
      <c r="E223" s="1" t="s">
        <v>1944</v>
      </c>
      <c r="F223" s="1" t="s">
        <v>729</v>
      </c>
      <c r="G223" s="1" t="s">
        <v>1959</v>
      </c>
      <c r="H223" s="1" t="str">
        <f t="shared" si="3"/>
        <v>prc_hicp_midx_CP04325</v>
      </c>
      <c r="I223" s="1" t="s">
        <v>728</v>
      </c>
      <c r="K223" s="1" t="s">
        <v>1940</v>
      </c>
      <c r="L223" s="1" t="s">
        <v>1399</v>
      </c>
      <c r="M223" s="1" t="s">
        <v>1398</v>
      </c>
      <c r="N223" s="1" t="s">
        <v>725</v>
      </c>
      <c r="Q223" s="1" t="s">
        <v>724</v>
      </c>
      <c r="S223" s="1" t="s">
        <v>1905</v>
      </c>
    </row>
    <row r="224" spans="1:19" ht="12.75" x14ac:dyDescent="0.2">
      <c r="A224" s="1" t="s">
        <v>308</v>
      </c>
      <c r="B224" s="1" t="s">
        <v>308</v>
      </c>
      <c r="C224" s="1">
        <v>1</v>
      </c>
      <c r="D224" s="1">
        <v>2</v>
      </c>
      <c r="E224" s="1" t="s">
        <v>1944</v>
      </c>
      <c r="F224" s="1" t="s">
        <v>729</v>
      </c>
      <c r="G224" s="1" t="s">
        <v>1959</v>
      </c>
      <c r="H224" s="1" t="str">
        <f t="shared" si="3"/>
        <v>prc_hicp_midx_CP04329</v>
      </c>
      <c r="I224" s="1" t="s">
        <v>728</v>
      </c>
      <c r="K224" s="1" t="s">
        <v>1940</v>
      </c>
      <c r="L224" s="1" t="s">
        <v>1397</v>
      </c>
      <c r="M224" s="1" t="s">
        <v>1396</v>
      </c>
      <c r="N224" s="1" t="s">
        <v>725</v>
      </c>
      <c r="Q224" s="1" t="s">
        <v>724</v>
      </c>
      <c r="S224" s="1" t="s">
        <v>1905</v>
      </c>
    </row>
    <row r="225" spans="1:19" ht="12.75" x14ac:dyDescent="0.2">
      <c r="A225" s="1" t="s">
        <v>308</v>
      </c>
      <c r="B225" s="1" t="s">
        <v>308</v>
      </c>
      <c r="C225" s="1">
        <v>1</v>
      </c>
      <c r="D225" s="1">
        <v>2</v>
      </c>
      <c r="E225" s="1" t="s">
        <v>1944</v>
      </c>
      <c r="F225" s="1" t="s">
        <v>729</v>
      </c>
      <c r="G225" s="1" t="s">
        <v>1959</v>
      </c>
      <c r="H225" s="1" t="str">
        <f t="shared" si="3"/>
        <v>prc_hicp_midx_CP044</v>
      </c>
      <c r="I225" s="1" t="s">
        <v>728</v>
      </c>
      <c r="K225" s="1" t="s">
        <v>1940</v>
      </c>
      <c r="L225" s="1" t="s">
        <v>1395</v>
      </c>
      <c r="M225" s="1" t="s">
        <v>1394</v>
      </c>
      <c r="N225" s="1" t="s">
        <v>725</v>
      </c>
      <c r="Q225" s="1" t="s">
        <v>724</v>
      </c>
      <c r="S225" s="1" t="s">
        <v>1905</v>
      </c>
    </row>
    <row r="226" spans="1:19" ht="12.75" x14ac:dyDescent="0.2">
      <c r="A226" s="1" t="s">
        <v>308</v>
      </c>
      <c r="B226" s="1" t="s">
        <v>308</v>
      </c>
      <c r="C226" s="1">
        <v>1</v>
      </c>
      <c r="D226" s="1">
        <v>2</v>
      </c>
      <c r="E226" s="1" t="s">
        <v>1944</v>
      </c>
      <c r="F226" s="1" t="s">
        <v>729</v>
      </c>
      <c r="G226" s="1" t="s">
        <v>1959</v>
      </c>
      <c r="H226" s="1" t="str">
        <f t="shared" si="3"/>
        <v>prc_hicp_midx_CP0441</v>
      </c>
      <c r="I226" s="1" t="s">
        <v>728</v>
      </c>
      <c r="K226" s="1" t="s">
        <v>1940</v>
      </c>
      <c r="L226" s="1" t="s">
        <v>1393</v>
      </c>
      <c r="M226" s="1" t="s">
        <v>1392</v>
      </c>
      <c r="N226" s="1" t="s">
        <v>725</v>
      </c>
      <c r="Q226" s="1" t="s">
        <v>724</v>
      </c>
      <c r="S226" s="1" t="s">
        <v>1905</v>
      </c>
    </row>
    <row r="227" spans="1:19" ht="12.75" x14ac:dyDescent="0.2">
      <c r="A227" s="1" t="s">
        <v>308</v>
      </c>
      <c r="B227" s="1" t="s">
        <v>308</v>
      </c>
      <c r="C227" s="1">
        <v>1</v>
      </c>
      <c r="D227" s="1">
        <v>2</v>
      </c>
      <c r="E227" s="1" t="s">
        <v>1944</v>
      </c>
      <c r="F227" s="1" t="s">
        <v>729</v>
      </c>
      <c r="G227" s="1" t="s">
        <v>1959</v>
      </c>
      <c r="H227" s="1" t="str">
        <f t="shared" si="3"/>
        <v>prc_hicp_midx_CP0442</v>
      </c>
      <c r="I227" s="1" t="s">
        <v>728</v>
      </c>
      <c r="K227" s="1" t="s">
        <v>1940</v>
      </c>
      <c r="L227" s="1" t="s">
        <v>1391</v>
      </c>
      <c r="M227" s="1" t="s">
        <v>1390</v>
      </c>
      <c r="N227" s="1" t="s">
        <v>725</v>
      </c>
      <c r="Q227" s="1" t="s">
        <v>724</v>
      </c>
      <c r="S227" s="1" t="s">
        <v>1905</v>
      </c>
    </row>
    <row r="228" spans="1:19" ht="12.75" x14ac:dyDescent="0.2">
      <c r="A228" s="1" t="s">
        <v>308</v>
      </c>
      <c r="B228" s="1" t="s">
        <v>308</v>
      </c>
      <c r="C228" s="1">
        <v>1</v>
      </c>
      <c r="D228" s="1">
        <v>2</v>
      </c>
      <c r="E228" s="1" t="s">
        <v>1944</v>
      </c>
      <c r="F228" s="1" t="s">
        <v>729</v>
      </c>
      <c r="G228" s="1" t="s">
        <v>1959</v>
      </c>
      <c r="H228" s="1" t="str">
        <f t="shared" si="3"/>
        <v>prc_hicp_midx_CP0443</v>
      </c>
      <c r="I228" s="1" t="s">
        <v>728</v>
      </c>
      <c r="K228" s="1" t="s">
        <v>1940</v>
      </c>
      <c r="L228" s="1" t="s">
        <v>1389</v>
      </c>
      <c r="M228" s="1" t="s">
        <v>1388</v>
      </c>
      <c r="N228" s="1" t="s">
        <v>725</v>
      </c>
      <c r="Q228" s="1" t="s">
        <v>724</v>
      </c>
      <c r="S228" s="1" t="s">
        <v>1905</v>
      </c>
    </row>
    <row r="229" spans="1:19" ht="12.75" x14ac:dyDescent="0.2">
      <c r="A229" s="1" t="s">
        <v>308</v>
      </c>
      <c r="B229" s="1" t="s">
        <v>308</v>
      </c>
      <c r="C229" s="1">
        <v>1</v>
      </c>
      <c r="D229" s="1">
        <v>2</v>
      </c>
      <c r="E229" s="1" t="s">
        <v>1944</v>
      </c>
      <c r="F229" s="1" t="s">
        <v>729</v>
      </c>
      <c r="G229" s="1" t="s">
        <v>1959</v>
      </c>
      <c r="H229" s="1" t="str">
        <f t="shared" si="3"/>
        <v>prc_hicp_midx_CP0444</v>
      </c>
      <c r="I229" s="1" t="s">
        <v>728</v>
      </c>
      <c r="K229" s="1" t="s">
        <v>1940</v>
      </c>
      <c r="L229" s="1" t="s">
        <v>1387</v>
      </c>
      <c r="M229" s="1" t="s">
        <v>1386</v>
      </c>
      <c r="N229" s="1" t="s">
        <v>725</v>
      </c>
      <c r="Q229" s="1" t="s">
        <v>724</v>
      </c>
      <c r="S229" s="1" t="s">
        <v>1905</v>
      </c>
    </row>
    <row r="230" spans="1:19" ht="12.75" x14ac:dyDescent="0.2">
      <c r="A230" s="1" t="s">
        <v>308</v>
      </c>
      <c r="B230" s="1" t="s">
        <v>308</v>
      </c>
      <c r="C230" s="1">
        <v>1</v>
      </c>
      <c r="D230" s="1">
        <v>2</v>
      </c>
      <c r="E230" s="1" t="s">
        <v>1944</v>
      </c>
      <c r="F230" s="1" t="s">
        <v>729</v>
      </c>
      <c r="G230" s="1" t="s">
        <v>1959</v>
      </c>
      <c r="H230" s="1" t="str">
        <f t="shared" si="3"/>
        <v>prc_hicp_midx_CP04441</v>
      </c>
      <c r="I230" s="1" t="s">
        <v>728</v>
      </c>
      <c r="K230" s="1" t="s">
        <v>1940</v>
      </c>
      <c r="L230" s="1" t="s">
        <v>1385</v>
      </c>
      <c r="M230" s="1" t="s">
        <v>1384</v>
      </c>
      <c r="N230" s="1" t="s">
        <v>725</v>
      </c>
      <c r="Q230" s="1" t="s">
        <v>724</v>
      </c>
      <c r="S230" s="1" t="s">
        <v>1905</v>
      </c>
    </row>
    <row r="231" spans="1:19" ht="12.75" x14ac:dyDescent="0.2">
      <c r="A231" s="1" t="s">
        <v>308</v>
      </c>
      <c r="B231" s="1" t="s">
        <v>308</v>
      </c>
      <c r="C231" s="1">
        <v>1</v>
      </c>
      <c r="D231" s="1">
        <v>2</v>
      </c>
      <c r="E231" s="1" t="s">
        <v>1944</v>
      </c>
      <c r="F231" s="1" t="s">
        <v>729</v>
      </c>
      <c r="G231" s="1" t="s">
        <v>1959</v>
      </c>
      <c r="H231" s="1" t="str">
        <f t="shared" si="3"/>
        <v>prc_hicp_midx_CP04442</v>
      </c>
      <c r="I231" s="1" t="s">
        <v>728</v>
      </c>
      <c r="K231" s="1" t="s">
        <v>1940</v>
      </c>
      <c r="L231" s="1" t="s">
        <v>1383</v>
      </c>
      <c r="M231" s="1" t="s">
        <v>1382</v>
      </c>
      <c r="N231" s="1" t="s">
        <v>725</v>
      </c>
      <c r="Q231" s="1" t="s">
        <v>724</v>
      </c>
      <c r="S231" s="1" t="s">
        <v>1905</v>
      </c>
    </row>
    <row r="232" spans="1:19" ht="12.75" x14ac:dyDescent="0.2">
      <c r="A232" s="1" t="s">
        <v>308</v>
      </c>
      <c r="B232" s="1" t="s">
        <v>308</v>
      </c>
      <c r="C232" s="1">
        <v>1</v>
      </c>
      <c r="D232" s="1">
        <v>2</v>
      </c>
      <c r="E232" s="1" t="s">
        <v>1944</v>
      </c>
      <c r="F232" s="1" t="s">
        <v>729</v>
      </c>
      <c r="G232" s="1" t="s">
        <v>1959</v>
      </c>
      <c r="H232" s="1" t="str">
        <f t="shared" si="3"/>
        <v>prc_hicp_midx_CP04449</v>
      </c>
      <c r="I232" s="1" t="s">
        <v>728</v>
      </c>
      <c r="K232" s="1" t="s">
        <v>1940</v>
      </c>
      <c r="L232" s="1" t="s">
        <v>1381</v>
      </c>
      <c r="M232" s="1" t="s">
        <v>1380</v>
      </c>
      <c r="N232" s="1" t="s">
        <v>725</v>
      </c>
      <c r="Q232" s="1" t="s">
        <v>724</v>
      </c>
      <c r="S232" s="1" t="s">
        <v>1905</v>
      </c>
    </row>
    <row r="233" spans="1:19" ht="12.75" x14ac:dyDescent="0.2">
      <c r="A233" s="1" t="s">
        <v>308</v>
      </c>
      <c r="B233" s="1" t="s">
        <v>308</v>
      </c>
      <c r="C233" s="1">
        <v>1</v>
      </c>
      <c r="D233" s="1">
        <v>2</v>
      </c>
      <c r="E233" s="1" t="s">
        <v>1944</v>
      </c>
      <c r="F233" s="1" t="s">
        <v>729</v>
      </c>
      <c r="G233" s="1" t="s">
        <v>1959</v>
      </c>
      <c r="H233" s="1" t="str">
        <f t="shared" si="3"/>
        <v>prc_hicp_midx_CP045</v>
      </c>
      <c r="I233" s="1" t="s">
        <v>728</v>
      </c>
      <c r="K233" s="1" t="s">
        <v>1940</v>
      </c>
      <c r="L233" s="1" t="s">
        <v>1379</v>
      </c>
      <c r="M233" s="1" t="s">
        <v>1378</v>
      </c>
      <c r="N233" s="1" t="s">
        <v>725</v>
      </c>
      <c r="Q233" s="1" t="s">
        <v>724</v>
      </c>
      <c r="S233" s="1" t="s">
        <v>1905</v>
      </c>
    </row>
    <row r="234" spans="1:19" ht="12.75" x14ac:dyDescent="0.2">
      <c r="A234" s="1" t="s">
        <v>308</v>
      </c>
      <c r="B234" s="1" t="s">
        <v>308</v>
      </c>
      <c r="C234" s="1">
        <v>1</v>
      </c>
      <c r="D234" s="1">
        <v>2</v>
      </c>
      <c r="E234" s="1" t="s">
        <v>1944</v>
      </c>
      <c r="F234" s="1" t="s">
        <v>729</v>
      </c>
      <c r="G234" s="1" t="s">
        <v>1959</v>
      </c>
      <c r="H234" s="1" t="str">
        <f t="shared" si="3"/>
        <v>prc_hicp_midx_CP0451</v>
      </c>
      <c r="I234" s="1" t="s">
        <v>728</v>
      </c>
      <c r="K234" s="1" t="s">
        <v>1940</v>
      </c>
      <c r="L234" s="1" t="s">
        <v>1377</v>
      </c>
      <c r="M234" s="1" t="s">
        <v>1376</v>
      </c>
      <c r="N234" s="1" t="s">
        <v>725</v>
      </c>
      <c r="Q234" s="1" t="s">
        <v>724</v>
      </c>
      <c r="S234" s="1" t="s">
        <v>1905</v>
      </c>
    </row>
    <row r="235" spans="1:19" ht="12.75" x14ac:dyDescent="0.2">
      <c r="A235" s="1" t="s">
        <v>308</v>
      </c>
      <c r="B235" s="1" t="s">
        <v>308</v>
      </c>
      <c r="C235" s="1">
        <v>1</v>
      </c>
      <c r="D235" s="1">
        <v>2</v>
      </c>
      <c r="E235" s="1" t="s">
        <v>1944</v>
      </c>
      <c r="F235" s="1" t="s">
        <v>729</v>
      </c>
      <c r="G235" s="1" t="s">
        <v>1959</v>
      </c>
      <c r="H235" s="1" t="str">
        <f t="shared" si="3"/>
        <v>prc_hicp_midx_CP0452</v>
      </c>
      <c r="I235" s="1" t="s">
        <v>728</v>
      </c>
      <c r="K235" s="1" t="s">
        <v>1940</v>
      </c>
      <c r="L235" s="1" t="s">
        <v>1375</v>
      </c>
      <c r="M235" s="1" t="s">
        <v>1374</v>
      </c>
      <c r="N235" s="1" t="s">
        <v>725</v>
      </c>
      <c r="Q235" s="1" t="s">
        <v>724</v>
      </c>
      <c r="S235" s="1" t="s">
        <v>1905</v>
      </c>
    </row>
    <row r="236" spans="1:19" ht="12.75" x14ac:dyDescent="0.2">
      <c r="A236" s="1" t="s">
        <v>308</v>
      </c>
      <c r="B236" s="1" t="s">
        <v>308</v>
      </c>
      <c r="C236" s="1">
        <v>1</v>
      </c>
      <c r="D236" s="1">
        <v>2</v>
      </c>
      <c r="E236" s="1" t="s">
        <v>1944</v>
      </c>
      <c r="F236" s="1" t="s">
        <v>729</v>
      </c>
      <c r="G236" s="1" t="s">
        <v>1959</v>
      </c>
      <c r="H236" s="1" t="str">
        <f t="shared" si="3"/>
        <v>prc_hicp_midx_CP04521</v>
      </c>
      <c r="I236" s="1" t="s">
        <v>728</v>
      </c>
      <c r="K236" s="1" t="s">
        <v>1940</v>
      </c>
      <c r="L236" s="1" t="s">
        <v>1373</v>
      </c>
      <c r="M236" s="1" t="s">
        <v>1372</v>
      </c>
      <c r="N236" s="1" t="s">
        <v>725</v>
      </c>
      <c r="Q236" s="1" t="s">
        <v>724</v>
      </c>
      <c r="S236" s="1" t="s">
        <v>1905</v>
      </c>
    </row>
    <row r="237" spans="1:19" ht="12.75" x14ac:dyDescent="0.2">
      <c r="A237" s="1" t="s">
        <v>308</v>
      </c>
      <c r="B237" s="1" t="s">
        <v>308</v>
      </c>
      <c r="C237" s="1">
        <v>1</v>
      </c>
      <c r="D237" s="1">
        <v>2</v>
      </c>
      <c r="E237" s="1" t="s">
        <v>1944</v>
      </c>
      <c r="F237" s="1" t="s">
        <v>729</v>
      </c>
      <c r="G237" s="1" t="s">
        <v>1959</v>
      </c>
      <c r="H237" s="1" t="str">
        <f t="shared" si="3"/>
        <v>prc_hicp_midx_CP04522</v>
      </c>
      <c r="I237" s="1" t="s">
        <v>728</v>
      </c>
      <c r="K237" s="1" t="s">
        <v>1940</v>
      </c>
      <c r="L237" s="1" t="s">
        <v>1371</v>
      </c>
      <c r="M237" s="1" t="s">
        <v>1370</v>
      </c>
      <c r="N237" s="1" t="s">
        <v>725</v>
      </c>
      <c r="Q237" s="1" t="s">
        <v>724</v>
      </c>
      <c r="S237" s="1" t="s">
        <v>1905</v>
      </c>
    </row>
    <row r="238" spans="1:19" ht="12.75" x14ac:dyDescent="0.2">
      <c r="A238" s="1" t="s">
        <v>308</v>
      </c>
      <c r="B238" s="1" t="s">
        <v>308</v>
      </c>
      <c r="C238" s="1">
        <v>1</v>
      </c>
      <c r="D238" s="1">
        <v>2</v>
      </c>
      <c r="E238" s="1" t="s">
        <v>1944</v>
      </c>
      <c r="F238" s="1" t="s">
        <v>729</v>
      </c>
      <c r="G238" s="1" t="s">
        <v>1959</v>
      </c>
      <c r="H238" s="1" t="str">
        <f t="shared" si="3"/>
        <v>prc_hicp_midx_CP0453</v>
      </c>
      <c r="I238" s="1" t="s">
        <v>728</v>
      </c>
      <c r="K238" s="1" t="s">
        <v>1940</v>
      </c>
      <c r="L238" s="1" t="s">
        <v>1369</v>
      </c>
      <c r="M238" s="1" t="s">
        <v>1368</v>
      </c>
      <c r="N238" s="1" t="s">
        <v>725</v>
      </c>
      <c r="Q238" s="1" t="s">
        <v>724</v>
      </c>
      <c r="S238" s="1" t="s">
        <v>1905</v>
      </c>
    </row>
    <row r="239" spans="1:19" ht="12.75" x14ac:dyDescent="0.2">
      <c r="A239" s="1" t="s">
        <v>308</v>
      </c>
      <c r="B239" s="1" t="s">
        <v>308</v>
      </c>
      <c r="C239" s="1">
        <v>1</v>
      </c>
      <c r="D239" s="1">
        <v>2</v>
      </c>
      <c r="E239" s="1" t="s">
        <v>1944</v>
      </c>
      <c r="F239" s="1" t="s">
        <v>729</v>
      </c>
      <c r="G239" s="1" t="s">
        <v>1959</v>
      </c>
      <c r="H239" s="1" t="str">
        <f t="shared" si="3"/>
        <v>prc_hicp_midx_CP0454</v>
      </c>
      <c r="I239" s="1" t="s">
        <v>728</v>
      </c>
      <c r="K239" s="1" t="s">
        <v>1940</v>
      </c>
      <c r="L239" s="1" t="s">
        <v>1367</v>
      </c>
      <c r="M239" s="1" t="s">
        <v>1366</v>
      </c>
      <c r="N239" s="1" t="s">
        <v>725</v>
      </c>
      <c r="Q239" s="1" t="s">
        <v>724</v>
      </c>
      <c r="S239" s="1" t="s">
        <v>1905</v>
      </c>
    </row>
    <row r="240" spans="1:19" ht="12.75" x14ac:dyDescent="0.2">
      <c r="A240" s="1" t="s">
        <v>308</v>
      </c>
      <c r="B240" s="1" t="s">
        <v>308</v>
      </c>
      <c r="C240" s="1">
        <v>1</v>
      </c>
      <c r="D240" s="1">
        <v>2</v>
      </c>
      <c r="E240" s="1" t="s">
        <v>1944</v>
      </c>
      <c r="F240" s="1" t="s">
        <v>729</v>
      </c>
      <c r="G240" s="1" t="s">
        <v>1959</v>
      </c>
      <c r="H240" s="1" t="str">
        <f t="shared" si="3"/>
        <v>prc_hicp_midx_CP04541</v>
      </c>
      <c r="I240" s="1" t="s">
        <v>728</v>
      </c>
      <c r="K240" s="1" t="s">
        <v>1940</v>
      </c>
      <c r="L240" s="1" t="s">
        <v>1365</v>
      </c>
      <c r="M240" s="1" t="s">
        <v>1364</v>
      </c>
      <c r="N240" s="1" t="s">
        <v>725</v>
      </c>
      <c r="Q240" s="1" t="s">
        <v>724</v>
      </c>
      <c r="S240" s="1" t="s">
        <v>1905</v>
      </c>
    </row>
    <row r="241" spans="1:19" ht="12.75" x14ac:dyDescent="0.2">
      <c r="A241" s="1" t="s">
        <v>308</v>
      </c>
      <c r="B241" s="1" t="s">
        <v>308</v>
      </c>
      <c r="C241" s="1">
        <v>1</v>
      </c>
      <c r="D241" s="1">
        <v>2</v>
      </c>
      <c r="E241" s="1" t="s">
        <v>1944</v>
      </c>
      <c r="F241" s="1" t="s">
        <v>729</v>
      </c>
      <c r="G241" s="1" t="s">
        <v>1959</v>
      </c>
      <c r="H241" s="1" t="str">
        <f t="shared" si="3"/>
        <v>prc_hicp_midx_CP04549</v>
      </c>
      <c r="I241" s="1" t="s">
        <v>728</v>
      </c>
      <c r="K241" s="1" t="s">
        <v>1940</v>
      </c>
      <c r="L241" s="1" t="s">
        <v>1363</v>
      </c>
      <c r="M241" s="1" t="s">
        <v>1362</v>
      </c>
      <c r="N241" s="1" t="s">
        <v>725</v>
      </c>
      <c r="Q241" s="1" t="s">
        <v>724</v>
      </c>
      <c r="S241" s="1" t="s">
        <v>1905</v>
      </c>
    </row>
    <row r="242" spans="1:19" ht="12.75" x14ac:dyDescent="0.2">
      <c r="A242" s="1" t="s">
        <v>308</v>
      </c>
      <c r="B242" s="1" t="s">
        <v>308</v>
      </c>
      <c r="C242" s="1">
        <v>1</v>
      </c>
      <c r="D242" s="1">
        <v>2</v>
      </c>
      <c r="E242" s="1" t="s">
        <v>1944</v>
      </c>
      <c r="F242" s="1" t="s">
        <v>729</v>
      </c>
      <c r="G242" s="1" t="s">
        <v>1959</v>
      </c>
      <c r="H242" s="1" t="str">
        <f t="shared" si="3"/>
        <v>prc_hicp_midx_CP0455</v>
      </c>
      <c r="I242" s="1" t="s">
        <v>728</v>
      </c>
      <c r="K242" s="1" t="s">
        <v>1940</v>
      </c>
      <c r="L242" s="1" t="s">
        <v>1361</v>
      </c>
      <c r="M242" s="1" t="s">
        <v>1360</v>
      </c>
      <c r="N242" s="1" t="s">
        <v>725</v>
      </c>
      <c r="Q242" s="1" t="s">
        <v>724</v>
      </c>
      <c r="S242" s="1" t="s">
        <v>1905</v>
      </c>
    </row>
    <row r="243" spans="1:19" ht="12.75" x14ac:dyDescent="0.2">
      <c r="A243" s="1" t="s">
        <v>308</v>
      </c>
      <c r="B243" s="1" t="s">
        <v>308</v>
      </c>
      <c r="C243" s="1">
        <v>1</v>
      </c>
      <c r="D243" s="1">
        <v>2</v>
      </c>
      <c r="E243" s="1" t="s">
        <v>1944</v>
      </c>
      <c r="F243" s="1" t="s">
        <v>729</v>
      </c>
      <c r="G243" s="1" t="s">
        <v>1959</v>
      </c>
      <c r="H243" s="1" t="str">
        <f t="shared" si="3"/>
        <v>prc_hicp_midx_CP05</v>
      </c>
      <c r="I243" s="1" t="s">
        <v>728</v>
      </c>
      <c r="K243" s="1" t="s">
        <v>1940</v>
      </c>
      <c r="L243" s="1" t="s">
        <v>1359</v>
      </c>
      <c r="M243" s="1" t="s">
        <v>1358</v>
      </c>
      <c r="N243" s="1" t="s">
        <v>725</v>
      </c>
      <c r="Q243" s="1" t="s">
        <v>724</v>
      </c>
      <c r="S243" s="1" t="s">
        <v>1905</v>
      </c>
    </row>
    <row r="244" spans="1:19" ht="12.75" x14ac:dyDescent="0.2">
      <c r="A244" s="1" t="s">
        <v>308</v>
      </c>
      <c r="B244" s="1" t="s">
        <v>308</v>
      </c>
      <c r="C244" s="1">
        <v>1</v>
      </c>
      <c r="D244" s="1">
        <v>2</v>
      </c>
      <c r="E244" s="1" t="s">
        <v>1944</v>
      </c>
      <c r="F244" s="1" t="s">
        <v>729</v>
      </c>
      <c r="G244" s="1" t="s">
        <v>1959</v>
      </c>
      <c r="H244" s="1" t="str">
        <f t="shared" si="3"/>
        <v>prc_hicp_midx_CP051</v>
      </c>
      <c r="I244" s="1" t="s">
        <v>728</v>
      </c>
      <c r="K244" s="1" t="s">
        <v>1940</v>
      </c>
      <c r="L244" s="1" t="s">
        <v>1357</v>
      </c>
      <c r="M244" s="1" t="s">
        <v>1356</v>
      </c>
      <c r="N244" s="1" t="s">
        <v>725</v>
      </c>
      <c r="Q244" s="1" t="s">
        <v>724</v>
      </c>
      <c r="S244" s="1" t="s">
        <v>1905</v>
      </c>
    </row>
    <row r="245" spans="1:19" ht="12.75" x14ac:dyDescent="0.2">
      <c r="A245" s="1" t="s">
        <v>308</v>
      </c>
      <c r="B245" s="1" t="s">
        <v>308</v>
      </c>
      <c r="C245" s="1">
        <v>1</v>
      </c>
      <c r="D245" s="1">
        <v>2</v>
      </c>
      <c r="E245" s="1" t="s">
        <v>1944</v>
      </c>
      <c r="F245" s="1" t="s">
        <v>729</v>
      </c>
      <c r="G245" s="1" t="s">
        <v>1959</v>
      </c>
      <c r="H245" s="1" t="str">
        <f t="shared" si="3"/>
        <v>prc_hicp_midx_CP0511</v>
      </c>
      <c r="I245" s="1" t="s">
        <v>728</v>
      </c>
      <c r="K245" s="1" t="s">
        <v>1940</v>
      </c>
      <c r="L245" s="1" t="s">
        <v>1355</v>
      </c>
      <c r="M245" s="1" t="s">
        <v>1354</v>
      </c>
      <c r="N245" s="1" t="s">
        <v>725</v>
      </c>
      <c r="Q245" s="1" t="s">
        <v>724</v>
      </c>
      <c r="S245" s="1" t="s">
        <v>1905</v>
      </c>
    </row>
    <row r="246" spans="1:19" ht="12.75" x14ac:dyDescent="0.2">
      <c r="A246" s="1" t="s">
        <v>308</v>
      </c>
      <c r="B246" s="1" t="s">
        <v>308</v>
      </c>
      <c r="C246" s="1">
        <v>1</v>
      </c>
      <c r="D246" s="1">
        <v>2</v>
      </c>
      <c r="E246" s="1" t="s">
        <v>1944</v>
      </c>
      <c r="F246" s="1" t="s">
        <v>729</v>
      </c>
      <c r="G246" s="1" t="s">
        <v>1959</v>
      </c>
      <c r="H246" s="1" t="str">
        <f t="shared" si="3"/>
        <v>prc_hicp_midx_CP05111</v>
      </c>
      <c r="I246" s="1" t="s">
        <v>728</v>
      </c>
      <c r="K246" s="1" t="s">
        <v>1940</v>
      </c>
      <c r="L246" s="1" t="s">
        <v>1353</v>
      </c>
      <c r="M246" s="1" t="s">
        <v>1352</v>
      </c>
      <c r="N246" s="1" t="s">
        <v>725</v>
      </c>
      <c r="Q246" s="1" t="s">
        <v>724</v>
      </c>
      <c r="S246" s="1" t="s">
        <v>1905</v>
      </c>
    </row>
    <row r="247" spans="1:19" ht="12.75" x14ac:dyDescent="0.2">
      <c r="A247" s="1" t="s">
        <v>308</v>
      </c>
      <c r="B247" s="1" t="s">
        <v>308</v>
      </c>
      <c r="C247" s="1">
        <v>1</v>
      </c>
      <c r="D247" s="1">
        <v>2</v>
      </c>
      <c r="E247" s="1" t="s">
        <v>1944</v>
      </c>
      <c r="F247" s="1" t="s">
        <v>729</v>
      </c>
      <c r="G247" s="1" t="s">
        <v>1959</v>
      </c>
      <c r="H247" s="1" t="str">
        <f t="shared" si="3"/>
        <v>prc_hicp_midx_CP05112</v>
      </c>
      <c r="I247" s="1" t="s">
        <v>728</v>
      </c>
      <c r="K247" s="1" t="s">
        <v>1940</v>
      </c>
      <c r="L247" s="1" t="s">
        <v>1351</v>
      </c>
      <c r="M247" s="1" t="s">
        <v>1350</v>
      </c>
      <c r="N247" s="1" t="s">
        <v>725</v>
      </c>
      <c r="Q247" s="1" t="s">
        <v>724</v>
      </c>
      <c r="S247" s="1" t="s">
        <v>1905</v>
      </c>
    </row>
    <row r="248" spans="1:19" ht="12.75" x14ac:dyDescent="0.2">
      <c r="A248" s="1" t="s">
        <v>308</v>
      </c>
      <c r="B248" s="1" t="s">
        <v>308</v>
      </c>
      <c r="C248" s="1">
        <v>1</v>
      </c>
      <c r="D248" s="1">
        <v>2</v>
      </c>
      <c r="E248" s="1" t="s">
        <v>1944</v>
      </c>
      <c r="F248" s="1" t="s">
        <v>729</v>
      </c>
      <c r="G248" s="1" t="s">
        <v>1959</v>
      </c>
      <c r="H248" s="1" t="str">
        <f t="shared" si="3"/>
        <v>prc_hicp_midx_CP05113</v>
      </c>
      <c r="I248" s="1" t="s">
        <v>728</v>
      </c>
      <c r="K248" s="1" t="s">
        <v>1940</v>
      </c>
      <c r="L248" s="1" t="s">
        <v>1349</v>
      </c>
      <c r="M248" s="1" t="s">
        <v>1348</v>
      </c>
      <c r="N248" s="1" t="s">
        <v>725</v>
      </c>
      <c r="Q248" s="1" t="s">
        <v>724</v>
      </c>
      <c r="S248" s="1" t="s">
        <v>1905</v>
      </c>
    </row>
    <row r="249" spans="1:19" ht="12.75" x14ac:dyDescent="0.2">
      <c r="A249" s="1" t="s">
        <v>308</v>
      </c>
      <c r="B249" s="1" t="s">
        <v>308</v>
      </c>
      <c r="C249" s="1">
        <v>1</v>
      </c>
      <c r="D249" s="1">
        <v>2</v>
      </c>
      <c r="E249" s="1" t="s">
        <v>1944</v>
      </c>
      <c r="F249" s="1" t="s">
        <v>729</v>
      </c>
      <c r="G249" s="1" t="s">
        <v>1959</v>
      </c>
      <c r="H249" s="1" t="str">
        <f t="shared" si="3"/>
        <v>prc_hicp_midx_CP05119</v>
      </c>
      <c r="I249" s="1" t="s">
        <v>728</v>
      </c>
      <c r="K249" s="1" t="s">
        <v>1940</v>
      </c>
      <c r="L249" s="1" t="s">
        <v>1347</v>
      </c>
      <c r="M249" s="1" t="s">
        <v>1346</v>
      </c>
      <c r="N249" s="1" t="s">
        <v>725</v>
      </c>
      <c r="Q249" s="1" t="s">
        <v>724</v>
      </c>
      <c r="S249" s="1" t="s">
        <v>1905</v>
      </c>
    </row>
    <row r="250" spans="1:19" ht="12.75" x14ac:dyDescent="0.2">
      <c r="A250" s="1" t="s">
        <v>308</v>
      </c>
      <c r="B250" s="1" t="s">
        <v>308</v>
      </c>
      <c r="C250" s="1">
        <v>1</v>
      </c>
      <c r="D250" s="1">
        <v>2</v>
      </c>
      <c r="E250" s="1" t="s">
        <v>1944</v>
      </c>
      <c r="F250" s="1" t="s">
        <v>729</v>
      </c>
      <c r="G250" s="1" t="s">
        <v>1959</v>
      </c>
      <c r="H250" s="1" t="str">
        <f t="shared" si="3"/>
        <v>prc_hicp_midx_CP0512</v>
      </c>
      <c r="I250" s="1" t="s">
        <v>728</v>
      </c>
      <c r="K250" s="1" t="s">
        <v>1940</v>
      </c>
      <c r="L250" s="1" t="s">
        <v>1345</v>
      </c>
      <c r="M250" s="1" t="s">
        <v>1344</v>
      </c>
      <c r="N250" s="1" t="s">
        <v>725</v>
      </c>
      <c r="Q250" s="1" t="s">
        <v>724</v>
      </c>
      <c r="S250" s="1" t="s">
        <v>1905</v>
      </c>
    </row>
    <row r="251" spans="1:19" ht="12.75" x14ac:dyDescent="0.2">
      <c r="A251" s="1" t="s">
        <v>308</v>
      </c>
      <c r="B251" s="1" t="s">
        <v>308</v>
      </c>
      <c r="C251" s="1">
        <v>1</v>
      </c>
      <c r="D251" s="1">
        <v>2</v>
      </c>
      <c r="E251" s="1" t="s">
        <v>1944</v>
      </c>
      <c r="F251" s="1" t="s">
        <v>729</v>
      </c>
      <c r="G251" s="1" t="s">
        <v>1959</v>
      </c>
      <c r="H251" s="1" t="str">
        <f t="shared" si="3"/>
        <v>prc_hicp_midx_CP05121</v>
      </c>
      <c r="I251" s="1" t="s">
        <v>728</v>
      </c>
      <c r="K251" s="1" t="s">
        <v>1940</v>
      </c>
      <c r="L251" s="1" t="s">
        <v>1343</v>
      </c>
      <c r="M251" s="1" t="s">
        <v>1342</v>
      </c>
      <c r="N251" s="1" t="s">
        <v>725</v>
      </c>
      <c r="Q251" s="1" t="s">
        <v>724</v>
      </c>
      <c r="S251" s="1" t="s">
        <v>1905</v>
      </c>
    </row>
    <row r="252" spans="1:19" ht="12.75" x14ac:dyDescent="0.2">
      <c r="A252" s="1" t="s">
        <v>308</v>
      </c>
      <c r="B252" s="1" t="s">
        <v>308</v>
      </c>
      <c r="C252" s="1">
        <v>1</v>
      </c>
      <c r="D252" s="1">
        <v>2</v>
      </c>
      <c r="E252" s="1" t="s">
        <v>1944</v>
      </c>
      <c r="F252" s="1" t="s">
        <v>729</v>
      </c>
      <c r="G252" s="1" t="s">
        <v>1959</v>
      </c>
      <c r="H252" s="1" t="str">
        <f t="shared" si="3"/>
        <v>prc_hicp_midx_CP05122</v>
      </c>
      <c r="I252" s="1" t="s">
        <v>728</v>
      </c>
      <c r="K252" s="1" t="s">
        <v>1940</v>
      </c>
      <c r="L252" s="1" t="s">
        <v>1341</v>
      </c>
      <c r="M252" s="1" t="s">
        <v>1340</v>
      </c>
      <c r="N252" s="1" t="s">
        <v>725</v>
      </c>
      <c r="Q252" s="1" t="s">
        <v>724</v>
      </c>
      <c r="S252" s="1" t="s">
        <v>1905</v>
      </c>
    </row>
    <row r="253" spans="1:19" ht="12.75" x14ac:dyDescent="0.2">
      <c r="A253" s="1" t="s">
        <v>308</v>
      </c>
      <c r="B253" s="1" t="s">
        <v>308</v>
      </c>
      <c r="C253" s="1">
        <v>1</v>
      </c>
      <c r="D253" s="1">
        <v>2</v>
      </c>
      <c r="E253" s="1" t="s">
        <v>1944</v>
      </c>
      <c r="F253" s="1" t="s">
        <v>729</v>
      </c>
      <c r="G253" s="1" t="s">
        <v>1959</v>
      </c>
      <c r="H253" s="1" t="str">
        <f t="shared" si="3"/>
        <v>prc_hicp_midx_CP05123</v>
      </c>
      <c r="I253" s="1" t="s">
        <v>728</v>
      </c>
      <c r="K253" s="1" t="s">
        <v>1940</v>
      </c>
      <c r="L253" s="1" t="s">
        <v>1339</v>
      </c>
      <c r="M253" s="1" t="s">
        <v>1338</v>
      </c>
      <c r="N253" s="1" t="s">
        <v>725</v>
      </c>
      <c r="Q253" s="1" t="s">
        <v>724</v>
      </c>
      <c r="S253" s="1" t="s">
        <v>1905</v>
      </c>
    </row>
    <row r="254" spans="1:19" ht="12.75" x14ac:dyDescent="0.2">
      <c r="A254" s="1" t="s">
        <v>308</v>
      </c>
      <c r="B254" s="1" t="s">
        <v>308</v>
      </c>
      <c r="C254" s="1">
        <v>1</v>
      </c>
      <c r="D254" s="1">
        <v>2</v>
      </c>
      <c r="E254" s="1" t="s">
        <v>1944</v>
      </c>
      <c r="F254" s="1" t="s">
        <v>729</v>
      </c>
      <c r="G254" s="1" t="s">
        <v>1959</v>
      </c>
      <c r="H254" s="1" t="str">
        <f t="shared" si="3"/>
        <v>prc_hicp_midx_CP0513</v>
      </c>
      <c r="I254" s="1" t="s">
        <v>728</v>
      </c>
      <c r="K254" s="1" t="s">
        <v>1940</v>
      </c>
      <c r="L254" s="1" t="s">
        <v>1337</v>
      </c>
      <c r="M254" s="1" t="s">
        <v>1336</v>
      </c>
      <c r="N254" s="1" t="s">
        <v>725</v>
      </c>
      <c r="Q254" s="1" t="s">
        <v>724</v>
      </c>
      <c r="S254" s="1" t="s">
        <v>1905</v>
      </c>
    </row>
    <row r="255" spans="1:19" ht="12.75" x14ac:dyDescent="0.2">
      <c r="A255" s="1" t="s">
        <v>308</v>
      </c>
      <c r="B255" s="1" t="s">
        <v>308</v>
      </c>
      <c r="C255" s="1">
        <v>1</v>
      </c>
      <c r="D255" s="1">
        <v>2</v>
      </c>
      <c r="E255" s="1" t="s">
        <v>1944</v>
      </c>
      <c r="F255" s="1" t="s">
        <v>729</v>
      </c>
      <c r="G255" s="1" t="s">
        <v>1959</v>
      </c>
      <c r="H255" s="1" t="str">
        <f t="shared" si="3"/>
        <v>prc_hicp_midx_CP052</v>
      </c>
      <c r="I255" s="1" t="s">
        <v>728</v>
      </c>
      <c r="K255" s="1" t="s">
        <v>1940</v>
      </c>
      <c r="L255" s="1" t="s">
        <v>1335</v>
      </c>
      <c r="M255" s="1" t="s">
        <v>1334</v>
      </c>
      <c r="N255" s="1" t="s">
        <v>725</v>
      </c>
      <c r="Q255" s="1" t="s">
        <v>724</v>
      </c>
      <c r="S255" s="1" t="s">
        <v>1905</v>
      </c>
    </row>
    <row r="256" spans="1:19" ht="12.75" x14ac:dyDescent="0.2">
      <c r="A256" s="1" t="s">
        <v>308</v>
      </c>
      <c r="B256" s="1" t="s">
        <v>308</v>
      </c>
      <c r="C256" s="1">
        <v>1</v>
      </c>
      <c r="D256" s="1">
        <v>2</v>
      </c>
      <c r="E256" s="1" t="s">
        <v>1944</v>
      </c>
      <c r="F256" s="1" t="s">
        <v>729</v>
      </c>
      <c r="G256" s="1" t="s">
        <v>1959</v>
      </c>
      <c r="H256" s="1" t="str">
        <f t="shared" si="3"/>
        <v>prc_hicp_midx_CP05201</v>
      </c>
      <c r="I256" s="1" t="s">
        <v>728</v>
      </c>
      <c r="K256" s="1" t="s">
        <v>1940</v>
      </c>
      <c r="L256" s="1" t="s">
        <v>1333</v>
      </c>
      <c r="M256" s="1" t="s">
        <v>1332</v>
      </c>
      <c r="N256" s="1" t="s">
        <v>725</v>
      </c>
      <c r="Q256" s="1" t="s">
        <v>724</v>
      </c>
      <c r="S256" s="1" t="s">
        <v>1905</v>
      </c>
    </row>
    <row r="257" spans="1:19" ht="12.75" x14ac:dyDescent="0.2">
      <c r="A257" s="1" t="s">
        <v>308</v>
      </c>
      <c r="B257" s="1" t="s">
        <v>308</v>
      </c>
      <c r="C257" s="1">
        <v>1</v>
      </c>
      <c r="D257" s="1">
        <v>2</v>
      </c>
      <c r="E257" s="1" t="s">
        <v>1944</v>
      </c>
      <c r="F257" s="1" t="s">
        <v>729</v>
      </c>
      <c r="G257" s="1" t="s">
        <v>1959</v>
      </c>
      <c r="H257" s="1" t="str">
        <f t="shared" si="3"/>
        <v>prc_hicp_midx_CP05202</v>
      </c>
      <c r="I257" s="1" t="s">
        <v>728</v>
      </c>
      <c r="K257" s="1" t="s">
        <v>1940</v>
      </c>
      <c r="L257" s="1" t="s">
        <v>1331</v>
      </c>
      <c r="M257" s="1" t="s">
        <v>1330</v>
      </c>
      <c r="N257" s="1" t="s">
        <v>725</v>
      </c>
      <c r="Q257" s="1" t="s">
        <v>724</v>
      </c>
      <c r="S257" s="1" t="s">
        <v>1905</v>
      </c>
    </row>
    <row r="258" spans="1:19" ht="12.75" x14ac:dyDescent="0.2">
      <c r="A258" s="1" t="s">
        <v>308</v>
      </c>
      <c r="B258" s="1" t="s">
        <v>308</v>
      </c>
      <c r="C258" s="1">
        <v>1</v>
      </c>
      <c r="D258" s="1">
        <v>2</v>
      </c>
      <c r="E258" s="1" t="s">
        <v>1944</v>
      </c>
      <c r="F258" s="1" t="s">
        <v>729</v>
      </c>
      <c r="G258" s="1" t="s">
        <v>1959</v>
      </c>
      <c r="H258" s="1" t="str">
        <f t="shared" si="3"/>
        <v>prc_hicp_midx_CP05203</v>
      </c>
      <c r="I258" s="1" t="s">
        <v>728</v>
      </c>
      <c r="K258" s="1" t="s">
        <v>1940</v>
      </c>
      <c r="L258" s="1" t="s">
        <v>1329</v>
      </c>
      <c r="M258" s="1" t="s">
        <v>1328</v>
      </c>
      <c r="N258" s="1" t="s">
        <v>725</v>
      </c>
      <c r="Q258" s="1" t="s">
        <v>724</v>
      </c>
      <c r="S258" s="1" t="s">
        <v>1905</v>
      </c>
    </row>
    <row r="259" spans="1:19" ht="12.75" x14ac:dyDescent="0.2">
      <c r="A259" s="1" t="s">
        <v>308</v>
      </c>
      <c r="B259" s="1" t="s">
        <v>308</v>
      </c>
      <c r="C259" s="1">
        <v>1</v>
      </c>
      <c r="D259" s="1">
        <v>2</v>
      </c>
      <c r="E259" s="1" t="s">
        <v>1944</v>
      </c>
      <c r="F259" s="1" t="s">
        <v>729</v>
      </c>
      <c r="G259" s="1" t="s">
        <v>1959</v>
      </c>
      <c r="H259" s="1" t="str">
        <f t="shared" ref="H259:H322" si="4">+I259&amp;"_"&amp;L259</f>
        <v>prc_hicp_midx_CP05204</v>
      </c>
      <c r="I259" s="1" t="s">
        <v>728</v>
      </c>
      <c r="K259" s="1" t="s">
        <v>1940</v>
      </c>
      <c r="L259" s="1" t="s">
        <v>1327</v>
      </c>
      <c r="M259" s="1" t="s">
        <v>1326</v>
      </c>
      <c r="N259" s="1" t="s">
        <v>725</v>
      </c>
      <c r="Q259" s="1" t="s">
        <v>724</v>
      </c>
      <c r="S259" s="1" t="s">
        <v>1905</v>
      </c>
    </row>
    <row r="260" spans="1:19" ht="12.75" x14ac:dyDescent="0.2">
      <c r="A260" s="1" t="s">
        <v>308</v>
      </c>
      <c r="B260" s="1" t="s">
        <v>308</v>
      </c>
      <c r="C260" s="1">
        <v>1</v>
      </c>
      <c r="D260" s="1">
        <v>2</v>
      </c>
      <c r="E260" s="1" t="s">
        <v>1944</v>
      </c>
      <c r="F260" s="1" t="s">
        <v>729</v>
      </c>
      <c r="G260" s="1" t="s">
        <v>1959</v>
      </c>
      <c r="H260" s="1" t="str">
        <f t="shared" si="4"/>
        <v>prc_hicp_midx_CP05209</v>
      </c>
      <c r="I260" s="1" t="s">
        <v>728</v>
      </c>
      <c r="K260" s="1" t="s">
        <v>1940</v>
      </c>
      <c r="L260" s="1" t="s">
        <v>1325</v>
      </c>
      <c r="M260" s="1" t="s">
        <v>1324</v>
      </c>
      <c r="N260" s="1" t="s">
        <v>725</v>
      </c>
      <c r="Q260" s="1" t="s">
        <v>724</v>
      </c>
      <c r="S260" s="1" t="s">
        <v>1905</v>
      </c>
    </row>
    <row r="261" spans="1:19" ht="12.75" x14ac:dyDescent="0.2">
      <c r="A261" s="1" t="s">
        <v>308</v>
      </c>
      <c r="B261" s="1" t="s">
        <v>308</v>
      </c>
      <c r="C261" s="1">
        <v>1</v>
      </c>
      <c r="D261" s="1">
        <v>2</v>
      </c>
      <c r="E261" s="1" t="s">
        <v>1944</v>
      </c>
      <c r="F261" s="1" t="s">
        <v>729</v>
      </c>
      <c r="G261" s="1" t="s">
        <v>1959</v>
      </c>
      <c r="H261" s="1" t="str">
        <f t="shared" si="4"/>
        <v>prc_hicp_midx_CP053</v>
      </c>
      <c r="I261" s="1" t="s">
        <v>728</v>
      </c>
      <c r="K261" s="1" t="s">
        <v>1940</v>
      </c>
      <c r="L261" s="1" t="s">
        <v>1323</v>
      </c>
      <c r="M261" s="1" t="s">
        <v>1322</v>
      </c>
      <c r="N261" s="1" t="s">
        <v>725</v>
      </c>
      <c r="Q261" s="1" t="s">
        <v>724</v>
      </c>
      <c r="S261" s="1" t="s">
        <v>1905</v>
      </c>
    </row>
    <row r="262" spans="1:19" ht="12.75" x14ac:dyDescent="0.2">
      <c r="A262" s="1" t="s">
        <v>308</v>
      </c>
      <c r="B262" s="1" t="s">
        <v>308</v>
      </c>
      <c r="C262" s="1">
        <v>1</v>
      </c>
      <c r="D262" s="1">
        <v>2</v>
      </c>
      <c r="E262" s="1" t="s">
        <v>1944</v>
      </c>
      <c r="F262" s="1" t="s">
        <v>729</v>
      </c>
      <c r="G262" s="1" t="s">
        <v>1959</v>
      </c>
      <c r="H262" s="1" t="str">
        <f t="shared" si="4"/>
        <v>prc_hicp_midx_CP0531</v>
      </c>
      <c r="I262" s="1" t="s">
        <v>728</v>
      </c>
      <c r="K262" s="1" t="s">
        <v>1940</v>
      </c>
      <c r="L262" s="1" t="s">
        <v>1321</v>
      </c>
      <c r="M262" s="1" t="s">
        <v>1320</v>
      </c>
      <c r="N262" s="1" t="s">
        <v>725</v>
      </c>
      <c r="Q262" s="1" t="s">
        <v>724</v>
      </c>
      <c r="S262" s="1" t="s">
        <v>1905</v>
      </c>
    </row>
    <row r="263" spans="1:19" ht="12.75" x14ac:dyDescent="0.2">
      <c r="A263" s="1" t="s">
        <v>308</v>
      </c>
      <c r="B263" s="1" t="s">
        <v>308</v>
      </c>
      <c r="C263" s="1">
        <v>1</v>
      </c>
      <c r="D263" s="1">
        <v>2</v>
      </c>
      <c r="E263" s="1" t="s">
        <v>1944</v>
      </c>
      <c r="F263" s="1" t="s">
        <v>729</v>
      </c>
      <c r="G263" s="1" t="s">
        <v>1959</v>
      </c>
      <c r="H263" s="1" t="str">
        <f t="shared" si="4"/>
        <v>prc_hicp_midx_CP0531_0532</v>
      </c>
      <c r="I263" s="1" t="s">
        <v>728</v>
      </c>
      <c r="K263" s="1" t="s">
        <v>1940</v>
      </c>
      <c r="L263" s="1" t="s">
        <v>1319</v>
      </c>
      <c r="M263" s="1" t="s">
        <v>1318</v>
      </c>
      <c r="N263" s="1" t="s">
        <v>725</v>
      </c>
      <c r="Q263" s="1" t="s">
        <v>724</v>
      </c>
      <c r="S263" s="1" t="s">
        <v>1905</v>
      </c>
    </row>
    <row r="264" spans="1:19" ht="12.75" x14ac:dyDescent="0.2">
      <c r="A264" s="1" t="s">
        <v>308</v>
      </c>
      <c r="B264" s="1" t="s">
        <v>308</v>
      </c>
      <c r="C264" s="1">
        <v>1</v>
      </c>
      <c r="D264" s="1">
        <v>2</v>
      </c>
      <c r="E264" s="1" t="s">
        <v>1944</v>
      </c>
      <c r="F264" s="1" t="s">
        <v>729</v>
      </c>
      <c r="G264" s="1" t="s">
        <v>1959</v>
      </c>
      <c r="H264" s="1" t="str">
        <f t="shared" si="4"/>
        <v>prc_hicp_midx_CP05311</v>
      </c>
      <c r="I264" s="1" t="s">
        <v>728</v>
      </c>
      <c r="K264" s="1" t="s">
        <v>1940</v>
      </c>
      <c r="L264" s="1" t="s">
        <v>1317</v>
      </c>
      <c r="M264" s="1" t="s">
        <v>1316</v>
      </c>
      <c r="N264" s="1" t="s">
        <v>725</v>
      </c>
      <c r="Q264" s="1" t="s">
        <v>724</v>
      </c>
      <c r="S264" s="1" t="s">
        <v>1905</v>
      </c>
    </row>
    <row r="265" spans="1:19" ht="12.75" x14ac:dyDescent="0.2">
      <c r="A265" s="1" t="s">
        <v>308</v>
      </c>
      <c r="B265" s="1" t="s">
        <v>308</v>
      </c>
      <c r="C265" s="1">
        <v>1</v>
      </c>
      <c r="D265" s="1">
        <v>2</v>
      </c>
      <c r="E265" s="1" t="s">
        <v>1944</v>
      </c>
      <c r="F265" s="1" t="s">
        <v>729</v>
      </c>
      <c r="G265" s="1" t="s">
        <v>1959</v>
      </c>
      <c r="H265" s="1" t="str">
        <f t="shared" si="4"/>
        <v>prc_hicp_midx_CP05312</v>
      </c>
      <c r="I265" s="1" t="s">
        <v>728</v>
      </c>
      <c r="K265" s="1" t="s">
        <v>1940</v>
      </c>
      <c r="L265" s="1" t="s">
        <v>1315</v>
      </c>
      <c r="M265" s="1" t="s">
        <v>1314</v>
      </c>
      <c r="N265" s="1" t="s">
        <v>725</v>
      </c>
      <c r="Q265" s="1" t="s">
        <v>724</v>
      </c>
      <c r="S265" s="1" t="s">
        <v>1905</v>
      </c>
    </row>
    <row r="266" spans="1:19" ht="12.75" x14ac:dyDescent="0.2">
      <c r="A266" s="1" t="s">
        <v>308</v>
      </c>
      <c r="B266" s="1" t="s">
        <v>308</v>
      </c>
      <c r="C266" s="1">
        <v>1</v>
      </c>
      <c r="D266" s="1">
        <v>2</v>
      </c>
      <c r="E266" s="1" t="s">
        <v>1944</v>
      </c>
      <c r="F266" s="1" t="s">
        <v>729</v>
      </c>
      <c r="G266" s="1" t="s">
        <v>1959</v>
      </c>
      <c r="H266" s="1" t="str">
        <f t="shared" si="4"/>
        <v>prc_hicp_midx_CP05313</v>
      </c>
      <c r="I266" s="1" t="s">
        <v>728</v>
      </c>
      <c r="K266" s="1" t="s">
        <v>1940</v>
      </c>
      <c r="L266" s="1" t="s">
        <v>1313</v>
      </c>
      <c r="M266" s="1" t="s">
        <v>1312</v>
      </c>
      <c r="N266" s="1" t="s">
        <v>725</v>
      </c>
      <c r="Q266" s="1" t="s">
        <v>724</v>
      </c>
      <c r="S266" s="1" t="s">
        <v>1905</v>
      </c>
    </row>
    <row r="267" spans="1:19" ht="12.75" x14ac:dyDescent="0.2">
      <c r="A267" s="1" t="s">
        <v>308</v>
      </c>
      <c r="B267" s="1" t="s">
        <v>308</v>
      </c>
      <c r="C267" s="1">
        <v>1</v>
      </c>
      <c r="D267" s="1">
        <v>2</v>
      </c>
      <c r="E267" s="1" t="s">
        <v>1944</v>
      </c>
      <c r="F267" s="1" t="s">
        <v>729</v>
      </c>
      <c r="G267" s="1" t="s">
        <v>1959</v>
      </c>
      <c r="H267" s="1" t="str">
        <f t="shared" si="4"/>
        <v>prc_hicp_midx_CP05314</v>
      </c>
      <c r="I267" s="1" t="s">
        <v>728</v>
      </c>
      <c r="K267" s="1" t="s">
        <v>1940</v>
      </c>
      <c r="L267" s="1" t="s">
        <v>1311</v>
      </c>
      <c r="M267" s="1" t="s">
        <v>1310</v>
      </c>
      <c r="N267" s="1" t="s">
        <v>725</v>
      </c>
      <c r="Q267" s="1" t="s">
        <v>724</v>
      </c>
      <c r="S267" s="1" t="s">
        <v>1905</v>
      </c>
    </row>
    <row r="268" spans="1:19" ht="12.75" x14ac:dyDescent="0.2">
      <c r="A268" s="1" t="s">
        <v>308</v>
      </c>
      <c r="B268" s="1" t="s">
        <v>308</v>
      </c>
      <c r="C268" s="1">
        <v>1</v>
      </c>
      <c r="D268" s="1">
        <v>2</v>
      </c>
      <c r="E268" s="1" t="s">
        <v>1944</v>
      </c>
      <c r="F268" s="1" t="s">
        <v>729</v>
      </c>
      <c r="G268" s="1" t="s">
        <v>1959</v>
      </c>
      <c r="H268" s="1" t="str">
        <f t="shared" si="4"/>
        <v>prc_hicp_midx_CP05315</v>
      </c>
      <c r="I268" s="1" t="s">
        <v>728</v>
      </c>
      <c r="K268" s="1" t="s">
        <v>1940</v>
      </c>
      <c r="L268" s="1" t="s">
        <v>1309</v>
      </c>
      <c r="M268" s="1" t="s">
        <v>1308</v>
      </c>
      <c r="N268" s="1" t="s">
        <v>725</v>
      </c>
      <c r="Q268" s="1" t="s">
        <v>724</v>
      </c>
      <c r="S268" s="1" t="s">
        <v>1905</v>
      </c>
    </row>
    <row r="269" spans="1:19" ht="12.75" x14ac:dyDescent="0.2">
      <c r="A269" s="1" t="s">
        <v>308</v>
      </c>
      <c r="B269" s="1" t="s">
        <v>308</v>
      </c>
      <c r="C269" s="1">
        <v>1</v>
      </c>
      <c r="D269" s="1">
        <v>2</v>
      </c>
      <c r="E269" s="1" t="s">
        <v>1944</v>
      </c>
      <c r="F269" s="1" t="s">
        <v>729</v>
      </c>
      <c r="G269" s="1" t="s">
        <v>1959</v>
      </c>
      <c r="H269" s="1" t="str">
        <f t="shared" si="4"/>
        <v>prc_hicp_midx_CP05319</v>
      </c>
      <c r="I269" s="1" t="s">
        <v>728</v>
      </c>
      <c r="K269" s="1" t="s">
        <v>1940</v>
      </c>
      <c r="L269" s="1" t="s">
        <v>1307</v>
      </c>
      <c r="M269" s="1" t="s">
        <v>1306</v>
      </c>
      <c r="N269" s="1" t="s">
        <v>725</v>
      </c>
      <c r="Q269" s="1" t="s">
        <v>724</v>
      </c>
      <c r="S269" s="1" t="s">
        <v>1905</v>
      </c>
    </row>
    <row r="270" spans="1:19" ht="12.75" x14ac:dyDescent="0.2">
      <c r="A270" s="1" t="s">
        <v>308</v>
      </c>
      <c r="B270" s="1" t="s">
        <v>308</v>
      </c>
      <c r="C270" s="1">
        <v>1</v>
      </c>
      <c r="D270" s="1">
        <v>2</v>
      </c>
      <c r="E270" s="1" t="s">
        <v>1944</v>
      </c>
      <c r="F270" s="1" t="s">
        <v>729</v>
      </c>
      <c r="G270" s="1" t="s">
        <v>1959</v>
      </c>
      <c r="H270" s="1" t="str">
        <f t="shared" si="4"/>
        <v>prc_hicp_midx_CP0532</v>
      </c>
      <c r="I270" s="1" t="s">
        <v>728</v>
      </c>
      <c r="K270" s="1" t="s">
        <v>1940</v>
      </c>
      <c r="L270" s="1" t="s">
        <v>1305</v>
      </c>
      <c r="M270" s="1" t="s">
        <v>1304</v>
      </c>
      <c r="N270" s="1" t="s">
        <v>725</v>
      </c>
      <c r="Q270" s="1" t="s">
        <v>724</v>
      </c>
      <c r="S270" s="1" t="s">
        <v>1905</v>
      </c>
    </row>
    <row r="271" spans="1:19" ht="12.75" x14ac:dyDescent="0.2">
      <c r="A271" s="1" t="s">
        <v>308</v>
      </c>
      <c r="B271" s="1" t="s">
        <v>308</v>
      </c>
      <c r="C271" s="1">
        <v>1</v>
      </c>
      <c r="D271" s="1">
        <v>2</v>
      </c>
      <c r="E271" s="1" t="s">
        <v>1944</v>
      </c>
      <c r="F271" s="1" t="s">
        <v>729</v>
      </c>
      <c r="G271" s="1" t="s">
        <v>1959</v>
      </c>
      <c r="H271" s="1" t="str">
        <f t="shared" si="4"/>
        <v>prc_hicp_midx_CP05321</v>
      </c>
      <c r="I271" s="1" t="s">
        <v>728</v>
      </c>
      <c r="K271" s="1" t="s">
        <v>1940</v>
      </c>
      <c r="L271" s="1" t="s">
        <v>1303</v>
      </c>
      <c r="M271" s="1" t="s">
        <v>1302</v>
      </c>
      <c r="N271" s="1" t="s">
        <v>725</v>
      </c>
      <c r="Q271" s="1" t="s">
        <v>724</v>
      </c>
      <c r="S271" s="1" t="s">
        <v>1905</v>
      </c>
    </row>
    <row r="272" spans="1:19" ht="12.75" x14ac:dyDescent="0.2">
      <c r="A272" s="1" t="s">
        <v>308</v>
      </c>
      <c r="B272" s="1" t="s">
        <v>308</v>
      </c>
      <c r="C272" s="1">
        <v>1</v>
      </c>
      <c r="D272" s="1">
        <v>2</v>
      </c>
      <c r="E272" s="1" t="s">
        <v>1944</v>
      </c>
      <c r="F272" s="1" t="s">
        <v>729</v>
      </c>
      <c r="G272" s="1" t="s">
        <v>1959</v>
      </c>
      <c r="H272" s="1" t="str">
        <f t="shared" si="4"/>
        <v>prc_hicp_midx_CP05322</v>
      </c>
      <c r="I272" s="1" t="s">
        <v>728</v>
      </c>
      <c r="K272" s="1" t="s">
        <v>1940</v>
      </c>
      <c r="L272" s="1" t="s">
        <v>1301</v>
      </c>
      <c r="M272" s="1" t="s">
        <v>1300</v>
      </c>
      <c r="N272" s="1" t="s">
        <v>725</v>
      </c>
      <c r="Q272" s="1" t="s">
        <v>724</v>
      </c>
      <c r="S272" s="1" t="s">
        <v>1905</v>
      </c>
    </row>
    <row r="273" spans="1:19" ht="12.75" x14ac:dyDescent="0.2">
      <c r="A273" s="1" t="s">
        <v>308</v>
      </c>
      <c r="B273" s="1" t="s">
        <v>308</v>
      </c>
      <c r="C273" s="1">
        <v>1</v>
      </c>
      <c r="D273" s="1">
        <v>2</v>
      </c>
      <c r="E273" s="1" t="s">
        <v>1944</v>
      </c>
      <c r="F273" s="1" t="s">
        <v>729</v>
      </c>
      <c r="G273" s="1" t="s">
        <v>1959</v>
      </c>
      <c r="H273" s="1" t="str">
        <f t="shared" si="4"/>
        <v>prc_hicp_midx_CP05323</v>
      </c>
      <c r="I273" s="1" t="s">
        <v>728</v>
      </c>
      <c r="K273" s="1" t="s">
        <v>1940</v>
      </c>
      <c r="L273" s="1" t="s">
        <v>1299</v>
      </c>
      <c r="M273" s="1" t="s">
        <v>1298</v>
      </c>
      <c r="N273" s="1" t="s">
        <v>725</v>
      </c>
      <c r="Q273" s="1" t="s">
        <v>724</v>
      </c>
      <c r="S273" s="1" t="s">
        <v>1905</v>
      </c>
    </row>
    <row r="274" spans="1:19" ht="12.75" x14ac:dyDescent="0.2">
      <c r="A274" s="1" t="s">
        <v>308</v>
      </c>
      <c r="B274" s="1" t="s">
        <v>308</v>
      </c>
      <c r="C274" s="1">
        <v>1</v>
      </c>
      <c r="D274" s="1">
        <v>2</v>
      </c>
      <c r="E274" s="1" t="s">
        <v>1944</v>
      </c>
      <c r="F274" s="1" t="s">
        <v>729</v>
      </c>
      <c r="G274" s="1" t="s">
        <v>1959</v>
      </c>
      <c r="H274" s="1" t="str">
        <f t="shared" si="4"/>
        <v>prc_hicp_midx_CP05324</v>
      </c>
      <c r="I274" s="1" t="s">
        <v>728</v>
      </c>
      <c r="K274" s="1" t="s">
        <v>1940</v>
      </c>
      <c r="L274" s="1" t="s">
        <v>1297</v>
      </c>
      <c r="M274" s="1" t="s">
        <v>1296</v>
      </c>
      <c r="N274" s="1" t="s">
        <v>725</v>
      </c>
      <c r="Q274" s="1" t="s">
        <v>724</v>
      </c>
      <c r="S274" s="1" t="s">
        <v>1905</v>
      </c>
    </row>
    <row r="275" spans="1:19" ht="12.75" x14ac:dyDescent="0.2">
      <c r="A275" s="1" t="s">
        <v>308</v>
      </c>
      <c r="B275" s="1" t="s">
        <v>308</v>
      </c>
      <c r="C275" s="1">
        <v>1</v>
      </c>
      <c r="D275" s="1">
        <v>2</v>
      </c>
      <c r="E275" s="1" t="s">
        <v>1944</v>
      </c>
      <c r="F275" s="1" t="s">
        <v>729</v>
      </c>
      <c r="G275" s="1" t="s">
        <v>1959</v>
      </c>
      <c r="H275" s="1" t="str">
        <f t="shared" si="4"/>
        <v>prc_hicp_midx_CP05329</v>
      </c>
      <c r="I275" s="1" t="s">
        <v>728</v>
      </c>
      <c r="K275" s="1" t="s">
        <v>1940</v>
      </c>
      <c r="L275" s="1" t="s">
        <v>1295</v>
      </c>
      <c r="M275" s="1" t="s">
        <v>1294</v>
      </c>
      <c r="N275" s="1" t="s">
        <v>725</v>
      </c>
      <c r="Q275" s="1" t="s">
        <v>724</v>
      </c>
      <c r="S275" s="1" t="s">
        <v>1905</v>
      </c>
    </row>
    <row r="276" spans="1:19" ht="12.75" x14ac:dyDescent="0.2">
      <c r="A276" s="1" t="s">
        <v>308</v>
      </c>
      <c r="B276" s="1" t="s">
        <v>308</v>
      </c>
      <c r="C276" s="1">
        <v>1</v>
      </c>
      <c r="D276" s="1">
        <v>2</v>
      </c>
      <c r="E276" s="1" t="s">
        <v>1944</v>
      </c>
      <c r="F276" s="1" t="s">
        <v>729</v>
      </c>
      <c r="G276" s="1" t="s">
        <v>1959</v>
      </c>
      <c r="H276" s="1" t="str">
        <f t="shared" si="4"/>
        <v>prc_hicp_midx_CP0533</v>
      </c>
      <c r="I276" s="1" t="s">
        <v>728</v>
      </c>
      <c r="K276" s="1" t="s">
        <v>1940</v>
      </c>
      <c r="L276" s="1" t="s">
        <v>1293</v>
      </c>
      <c r="M276" s="1" t="s">
        <v>1292</v>
      </c>
      <c r="N276" s="1" t="s">
        <v>725</v>
      </c>
      <c r="Q276" s="1" t="s">
        <v>724</v>
      </c>
      <c r="S276" s="1" t="s">
        <v>1905</v>
      </c>
    </row>
    <row r="277" spans="1:19" ht="12.75" x14ac:dyDescent="0.2">
      <c r="A277" s="1" t="s">
        <v>308</v>
      </c>
      <c r="B277" s="1" t="s">
        <v>308</v>
      </c>
      <c r="C277" s="1">
        <v>1</v>
      </c>
      <c r="D277" s="1">
        <v>2</v>
      </c>
      <c r="E277" s="1" t="s">
        <v>1944</v>
      </c>
      <c r="F277" s="1" t="s">
        <v>729</v>
      </c>
      <c r="G277" s="1" t="s">
        <v>1959</v>
      </c>
      <c r="H277" s="1" t="str">
        <f t="shared" si="4"/>
        <v>prc_hicp_midx_CP054</v>
      </c>
      <c r="I277" s="1" t="s">
        <v>728</v>
      </c>
      <c r="K277" s="1" t="s">
        <v>1940</v>
      </c>
      <c r="L277" s="1" t="s">
        <v>1291</v>
      </c>
      <c r="M277" s="1" t="s">
        <v>1290</v>
      </c>
      <c r="N277" s="1" t="s">
        <v>725</v>
      </c>
      <c r="Q277" s="1" t="s">
        <v>724</v>
      </c>
      <c r="S277" s="1" t="s">
        <v>1905</v>
      </c>
    </row>
    <row r="278" spans="1:19" ht="12.75" x14ac:dyDescent="0.2">
      <c r="A278" s="1" t="s">
        <v>308</v>
      </c>
      <c r="B278" s="1" t="s">
        <v>308</v>
      </c>
      <c r="C278" s="1">
        <v>1</v>
      </c>
      <c r="D278" s="1">
        <v>2</v>
      </c>
      <c r="E278" s="1" t="s">
        <v>1944</v>
      </c>
      <c r="F278" s="1" t="s">
        <v>729</v>
      </c>
      <c r="G278" s="1" t="s">
        <v>1959</v>
      </c>
      <c r="H278" s="1" t="str">
        <f t="shared" si="4"/>
        <v>prc_hicp_midx_CP05401</v>
      </c>
      <c r="I278" s="1" t="s">
        <v>728</v>
      </c>
      <c r="K278" s="1" t="s">
        <v>1940</v>
      </c>
      <c r="L278" s="1" t="s">
        <v>1289</v>
      </c>
      <c r="M278" s="1" t="s">
        <v>1288</v>
      </c>
      <c r="N278" s="1" t="s">
        <v>725</v>
      </c>
      <c r="Q278" s="1" t="s">
        <v>724</v>
      </c>
      <c r="S278" s="1" t="s">
        <v>1905</v>
      </c>
    </row>
    <row r="279" spans="1:19" ht="12.75" x14ac:dyDescent="0.2">
      <c r="A279" s="1" t="s">
        <v>308</v>
      </c>
      <c r="B279" s="1" t="s">
        <v>308</v>
      </c>
      <c r="C279" s="1">
        <v>1</v>
      </c>
      <c r="D279" s="1">
        <v>2</v>
      </c>
      <c r="E279" s="1" t="s">
        <v>1944</v>
      </c>
      <c r="F279" s="1" t="s">
        <v>729</v>
      </c>
      <c r="G279" s="1" t="s">
        <v>1959</v>
      </c>
      <c r="H279" s="1" t="str">
        <f t="shared" si="4"/>
        <v>prc_hicp_midx_CP05402</v>
      </c>
      <c r="I279" s="1" t="s">
        <v>728</v>
      </c>
      <c r="K279" s="1" t="s">
        <v>1940</v>
      </c>
      <c r="L279" s="1" t="s">
        <v>1287</v>
      </c>
      <c r="M279" s="1" t="s">
        <v>1286</v>
      </c>
      <c r="N279" s="1" t="s">
        <v>725</v>
      </c>
      <c r="Q279" s="1" t="s">
        <v>724</v>
      </c>
      <c r="S279" s="1" t="s">
        <v>1905</v>
      </c>
    </row>
    <row r="280" spans="1:19" ht="12.75" x14ac:dyDescent="0.2">
      <c r="A280" s="1" t="s">
        <v>308</v>
      </c>
      <c r="B280" s="1" t="s">
        <v>308</v>
      </c>
      <c r="C280" s="1">
        <v>1</v>
      </c>
      <c r="D280" s="1">
        <v>2</v>
      </c>
      <c r="E280" s="1" t="s">
        <v>1944</v>
      </c>
      <c r="F280" s="1" t="s">
        <v>729</v>
      </c>
      <c r="G280" s="1" t="s">
        <v>1959</v>
      </c>
      <c r="H280" s="1" t="str">
        <f t="shared" si="4"/>
        <v>prc_hicp_midx_CP05403</v>
      </c>
      <c r="I280" s="1" t="s">
        <v>728</v>
      </c>
      <c r="K280" s="1" t="s">
        <v>1940</v>
      </c>
      <c r="L280" s="1" t="s">
        <v>1285</v>
      </c>
      <c r="M280" s="1" t="s">
        <v>1284</v>
      </c>
      <c r="N280" s="1" t="s">
        <v>725</v>
      </c>
      <c r="Q280" s="1" t="s">
        <v>724</v>
      </c>
      <c r="S280" s="1" t="s">
        <v>1905</v>
      </c>
    </row>
    <row r="281" spans="1:19" ht="12.75" x14ac:dyDescent="0.2">
      <c r="A281" s="1" t="s">
        <v>308</v>
      </c>
      <c r="B281" s="1" t="s">
        <v>308</v>
      </c>
      <c r="C281" s="1">
        <v>1</v>
      </c>
      <c r="D281" s="1">
        <v>2</v>
      </c>
      <c r="E281" s="1" t="s">
        <v>1944</v>
      </c>
      <c r="F281" s="1" t="s">
        <v>729</v>
      </c>
      <c r="G281" s="1" t="s">
        <v>1959</v>
      </c>
      <c r="H281" s="1" t="str">
        <f t="shared" si="4"/>
        <v>prc_hicp_midx_CP05404</v>
      </c>
      <c r="I281" s="1" t="s">
        <v>728</v>
      </c>
      <c r="K281" s="1" t="s">
        <v>1940</v>
      </c>
      <c r="L281" s="1" t="s">
        <v>1283</v>
      </c>
      <c r="M281" s="1" t="s">
        <v>1282</v>
      </c>
      <c r="N281" s="1" t="s">
        <v>725</v>
      </c>
      <c r="Q281" s="1" t="s">
        <v>724</v>
      </c>
      <c r="S281" s="1" t="s">
        <v>1905</v>
      </c>
    </row>
    <row r="282" spans="1:19" ht="12.75" x14ac:dyDescent="0.2">
      <c r="A282" s="1" t="s">
        <v>308</v>
      </c>
      <c r="B282" s="1" t="s">
        <v>308</v>
      </c>
      <c r="C282" s="1">
        <v>1</v>
      </c>
      <c r="D282" s="1">
        <v>2</v>
      </c>
      <c r="E282" s="1" t="s">
        <v>1944</v>
      </c>
      <c r="F282" s="1" t="s">
        <v>729</v>
      </c>
      <c r="G282" s="1" t="s">
        <v>1959</v>
      </c>
      <c r="H282" s="1" t="str">
        <f t="shared" si="4"/>
        <v>prc_hicp_midx_CP055</v>
      </c>
      <c r="I282" s="1" t="s">
        <v>728</v>
      </c>
      <c r="K282" s="1" t="s">
        <v>1940</v>
      </c>
      <c r="L282" s="1" t="s">
        <v>1281</v>
      </c>
      <c r="M282" s="1" t="s">
        <v>1280</v>
      </c>
      <c r="N282" s="1" t="s">
        <v>725</v>
      </c>
      <c r="Q282" s="1" t="s">
        <v>724</v>
      </c>
      <c r="S282" s="1" t="s">
        <v>1905</v>
      </c>
    </row>
    <row r="283" spans="1:19" ht="12.75" x14ac:dyDescent="0.2">
      <c r="A283" s="1" t="s">
        <v>308</v>
      </c>
      <c r="B283" s="1" t="s">
        <v>308</v>
      </c>
      <c r="C283" s="1">
        <v>1</v>
      </c>
      <c r="D283" s="1">
        <v>2</v>
      </c>
      <c r="E283" s="1" t="s">
        <v>1944</v>
      </c>
      <c r="F283" s="1" t="s">
        <v>729</v>
      </c>
      <c r="G283" s="1" t="s">
        <v>1959</v>
      </c>
      <c r="H283" s="1" t="str">
        <f t="shared" si="4"/>
        <v>prc_hicp_midx_CP0551</v>
      </c>
      <c r="I283" s="1" t="s">
        <v>728</v>
      </c>
      <c r="K283" s="1" t="s">
        <v>1940</v>
      </c>
      <c r="L283" s="1" t="s">
        <v>1279</v>
      </c>
      <c r="M283" s="1" t="s">
        <v>1278</v>
      </c>
      <c r="N283" s="1" t="s">
        <v>725</v>
      </c>
      <c r="Q283" s="1" t="s">
        <v>724</v>
      </c>
      <c r="S283" s="1" t="s">
        <v>1905</v>
      </c>
    </row>
    <row r="284" spans="1:19" ht="12.75" x14ac:dyDescent="0.2">
      <c r="A284" s="1" t="s">
        <v>308</v>
      </c>
      <c r="B284" s="1" t="s">
        <v>308</v>
      </c>
      <c r="C284" s="1">
        <v>1</v>
      </c>
      <c r="D284" s="1">
        <v>2</v>
      </c>
      <c r="E284" s="1" t="s">
        <v>1944</v>
      </c>
      <c r="F284" s="1" t="s">
        <v>729</v>
      </c>
      <c r="G284" s="1" t="s">
        <v>1959</v>
      </c>
      <c r="H284" s="1" t="str">
        <f t="shared" si="4"/>
        <v>prc_hicp_midx_CP05511</v>
      </c>
      <c r="I284" s="1" t="s">
        <v>728</v>
      </c>
      <c r="K284" s="1" t="s">
        <v>1940</v>
      </c>
      <c r="L284" s="1" t="s">
        <v>1277</v>
      </c>
      <c r="M284" s="1" t="s">
        <v>1276</v>
      </c>
      <c r="N284" s="1" t="s">
        <v>725</v>
      </c>
      <c r="Q284" s="1" t="s">
        <v>724</v>
      </c>
      <c r="S284" s="1" t="s">
        <v>1905</v>
      </c>
    </row>
    <row r="285" spans="1:19" ht="12.75" x14ac:dyDescent="0.2">
      <c r="A285" s="1" t="s">
        <v>308</v>
      </c>
      <c r="B285" s="1" t="s">
        <v>308</v>
      </c>
      <c r="C285" s="1">
        <v>1</v>
      </c>
      <c r="D285" s="1">
        <v>2</v>
      </c>
      <c r="E285" s="1" t="s">
        <v>1944</v>
      </c>
      <c r="F285" s="1" t="s">
        <v>729</v>
      </c>
      <c r="G285" s="1" t="s">
        <v>1959</v>
      </c>
      <c r="H285" s="1" t="str">
        <f t="shared" si="4"/>
        <v>prc_hicp_midx_CP05512</v>
      </c>
      <c r="I285" s="1" t="s">
        <v>728</v>
      </c>
      <c r="K285" s="1" t="s">
        <v>1940</v>
      </c>
      <c r="L285" s="1" t="s">
        <v>1275</v>
      </c>
      <c r="M285" s="1" t="s">
        <v>1274</v>
      </c>
      <c r="N285" s="1" t="s">
        <v>725</v>
      </c>
      <c r="Q285" s="1" t="s">
        <v>724</v>
      </c>
      <c r="S285" s="1" t="s">
        <v>1905</v>
      </c>
    </row>
    <row r="286" spans="1:19" ht="12.75" x14ac:dyDescent="0.2">
      <c r="A286" s="1" t="s">
        <v>308</v>
      </c>
      <c r="B286" s="1" t="s">
        <v>308</v>
      </c>
      <c r="C286" s="1">
        <v>1</v>
      </c>
      <c r="D286" s="1">
        <v>2</v>
      </c>
      <c r="E286" s="1" t="s">
        <v>1944</v>
      </c>
      <c r="F286" s="1" t="s">
        <v>729</v>
      </c>
      <c r="G286" s="1" t="s">
        <v>1959</v>
      </c>
      <c r="H286" s="1" t="str">
        <f t="shared" si="4"/>
        <v>prc_hicp_midx_CP0552</v>
      </c>
      <c r="I286" s="1" t="s">
        <v>728</v>
      </c>
      <c r="K286" s="1" t="s">
        <v>1940</v>
      </c>
      <c r="L286" s="1" t="s">
        <v>1273</v>
      </c>
      <c r="M286" s="1" t="s">
        <v>1272</v>
      </c>
      <c r="N286" s="1" t="s">
        <v>725</v>
      </c>
      <c r="Q286" s="1" t="s">
        <v>724</v>
      </c>
      <c r="S286" s="1" t="s">
        <v>1905</v>
      </c>
    </row>
    <row r="287" spans="1:19" ht="12.75" x14ac:dyDescent="0.2">
      <c r="A287" s="1" t="s">
        <v>308</v>
      </c>
      <c r="B287" s="1" t="s">
        <v>308</v>
      </c>
      <c r="C287" s="1">
        <v>1</v>
      </c>
      <c r="D287" s="1">
        <v>2</v>
      </c>
      <c r="E287" s="1" t="s">
        <v>1944</v>
      </c>
      <c r="F287" s="1" t="s">
        <v>729</v>
      </c>
      <c r="G287" s="1" t="s">
        <v>1959</v>
      </c>
      <c r="H287" s="1" t="str">
        <f t="shared" si="4"/>
        <v>prc_hicp_midx_CP05521</v>
      </c>
      <c r="I287" s="1" t="s">
        <v>728</v>
      </c>
      <c r="K287" s="1" t="s">
        <v>1940</v>
      </c>
      <c r="L287" s="1" t="s">
        <v>1271</v>
      </c>
      <c r="M287" s="1" t="s">
        <v>1270</v>
      </c>
      <c r="N287" s="1" t="s">
        <v>725</v>
      </c>
      <c r="Q287" s="1" t="s">
        <v>724</v>
      </c>
      <c r="S287" s="1" t="s">
        <v>1905</v>
      </c>
    </row>
    <row r="288" spans="1:19" ht="12.75" x14ac:dyDescent="0.2">
      <c r="A288" s="1" t="s">
        <v>308</v>
      </c>
      <c r="B288" s="1" t="s">
        <v>308</v>
      </c>
      <c r="C288" s="1">
        <v>1</v>
      </c>
      <c r="D288" s="1">
        <v>2</v>
      </c>
      <c r="E288" s="1" t="s">
        <v>1944</v>
      </c>
      <c r="F288" s="1" t="s">
        <v>729</v>
      </c>
      <c r="G288" s="1" t="s">
        <v>1959</v>
      </c>
      <c r="H288" s="1" t="str">
        <f t="shared" si="4"/>
        <v>prc_hicp_midx_CP05522</v>
      </c>
      <c r="I288" s="1" t="s">
        <v>728</v>
      </c>
      <c r="K288" s="1" t="s">
        <v>1940</v>
      </c>
      <c r="L288" s="1" t="s">
        <v>1269</v>
      </c>
      <c r="M288" s="1" t="s">
        <v>1268</v>
      </c>
      <c r="N288" s="1" t="s">
        <v>725</v>
      </c>
      <c r="Q288" s="1" t="s">
        <v>724</v>
      </c>
      <c r="S288" s="1" t="s">
        <v>1905</v>
      </c>
    </row>
    <row r="289" spans="1:19" ht="12.75" x14ac:dyDescent="0.2">
      <c r="A289" s="1" t="s">
        <v>308</v>
      </c>
      <c r="B289" s="1" t="s">
        <v>308</v>
      </c>
      <c r="C289" s="1">
        <v>1</v>
      </c>
      <c r="D289" s="1">
        <v>2</v>
      </c>
      <c r="E289" s="1" t="s">
        <v>1944</v>
      </c>
      <c r="F289" s="1" t="s">
        <v>729</v>
      </c>
      <c r="G289" s="1" t="s">
        <v>1959</v>
      </c>
      <c r="H289" s="1" t="str">
        <f t="shared" si="4"/>
        <v>prc_hicp_midx_CP05523</v>
      </c>
      <c r="I289" s="1" t="s">
        <v>728</v>
      </c>
      <c r="K289" s="1" t="s">
        <v>1940</v>
      </c>
      <c r="L289" s="1" t="s">
        <v>1267</v>
      </c>
      <c r="M289" s="1" t="s">
        <v>1266</v>
      </c>
      <c r="N289" s="1" t="s">
        <v>725</v>
      </c>
      <c r="Q289" s="1" t="s">
        <v>724</v>
      </c>
      <c r="S289" s="1" t="s">
        <v>1905</v>
      </c>
    </row>
    <row r="290" spans="1:19" ht="12.75" x14ac:dyDescent="0.2">
      <c r="A290" s="1" t="s">
        <v>308</v>
      </c>
      <c r="B290" s="1" t="s">
        <v>308</v>
      </c>
      <c r="C290" s="1">
        <v>1</v>
      </c>
      <c r="D290" s="1">
        <v>2</v>
      </c>
      <c r="E290" s="1" t="s">
        <v>1944</v>
      </c>
      <c r="F290" s="1" t="s">
        <v>729</v>
      </c>
      <c r="G290" s="1" t="s">
        <v>1959</v>
      </c>
      <c r="H290" s="1" t="str">
        <f t="shared" si="4"/>
        <v>prc_hicp_midx_CP056</v>
      </c>
      <c r="I290" s="1" t="s">
        <v>728</v>
      </c>
      <c r="K290" s="1" t="s">
        <v>1940</v>
      </c>
      <c r="L290" s="1" t="s">
        <v>1265</v>
      </c>
      <c r="M290" s="1" t="s">
        <v>1264</v>
      </c>
      <c r="N290" s="1" t="s">
        <v>725</v>
      </c>
      <c r="Q290" s="1" t="s">
        <v>724</v>
      </c>
      <c r="S290" s="1" t="s">
        <v>1905</v>
      </c>
    </row>
    <row r="291" spans="1:19" ht="12.75" x14ac:dyDescent="0.2">
      <c r="A291" s="1" t="s">
        <v>308</v>
      </c>
      <c r="B291" s="1" t="s">
        <v>308</v>
      </c>
      <c r="C291" s="1">
        <v>1</v>
      </c>
      <c r="D291" s="1">
        <v>2</v>
      </c>
      <c r="E291" s="1" t="s">
        <v>1944</v>
      </c>
      <c r="F291" s="1" t="s">
        <v>729</v>
      </c>
      <c r="G291" s="1" t="s">
        <v>1959</v>
      </c>
      <c r="H291" s="1" t="str">
        <f t="shared" si="4"/>
        <v>prc_hicp_midx_CP0561</v>
      </c>
      <c r="I291" s="1" t="s">
        <v>728</v>
      </c>
      <c r="K291" s="1" t="s">
        <v>1940</v>
      </c>
      <c r="L291" s="1" t="s">
        <v>1263</v>
      </c>
      <c r="M291" s="1" t="s">
        <v>1262</v>
      </c>
      <c r="N291" s="1" t="s">
        <v>725</v>
      </c>
      <c r="Q291" s="1" t="s">
        <v>724</v>
      </c>
      <c r="S291" s="1" t="s">
        <v>1905</v>
      </c>
    </row>
    <row r="292" spans="1:19" ht="12.75" x14ac:dyDescent="0.2">
      <c r="A292" s="1" t="s">
        <v>308</v>
      </c>
      <c r="B292" s="1" t="s">
        <v>308</v>
      </c>
      <c r="C292" s="1">
        <v>1</v>
      </c>
      <c r="D292" s="1">
        <v>2</v>
      </c>
      <c r="E292" s="1" t="s">
        <v>1944</v>
      </c>
      <c r="F292" s="1" t="s">
        <v>729</v>
      </c>
      <c r="G292" s="1" t="s">
        <v>1959</v>
      </c>
      <c r="H292" s="1" t="str">
        <f t="shared" si="4"/>
        <v>prc_hicp_midx_CP05611</v>
      </c>
      <c r="I292" s="1" t="s">
        <v>728</v>
      </c>
      <c r="K292" s="1" t="s">
        <v>1940</v>
      </c>
      <c r="L292" s="1" t="s">
        <v>1261</v>
      </c>
      <c r="M292" s="1" t="s">
        <v>1260</v>
      </c>
      <c r="N292" s="1" t="s">
        <v>725</v>
      </c>
      <c r="Q292" s="1" t="s">
        <v>724</v>
      </c>
      <c r="S292" s="1" t="s">
        <v>1905</v>
      </c>
    </row>
    <row r="293" spans="1:19" ht="12.75" x14ac:dyDescent="0.2">
      <c r="A293" s="1" t="s">
        <v>308</v>
      </c>
      <c r="B293" s="1" t="s">
        <v>308</v>
      </c>
      <c r="C293" s="1">
        <v>1</v>
      </c>
      <c r="D293" s="1">
        <v>2</v>
      </c>
      <c r="E293" s="1" t="s">
        <v>1944</v>
      </c>
      <c r="F293" s="1" t="s">
        <v>729</v>
      </c>
      <c r="G293" s="1" t="s">
        <v>1959</v>
      </c>
      <c r="H293" s="1" t="str">
        <f t="shared" si="4"/>
        <v>prc_hicp_midx_CP05612</v>
      </c>
      <c r="I293" s="1" t="s">
        <v>728</v>
      </c>
      <c r="K293" s="1" t="s">
        <v>1940</v>
      </c>
      <c r="L293" s="1" t="s">
        <v>1259</v>
      </c>
      <c r="M293" s="1" t="s">
        <v>1258</v>
      </c>
      <c r="N293" s="1" t="s">
        <v>725</v>
      </c>
      <c r="Q293" s="1" t="s">
        <v>724</v>
      </c>
      <c r="S293" s="1" t="s">
        <v>1905</v>
      </c>
    </row>
    <row r="294" spans="1:19" ht="12.75" x14ac:dyDescent="0.2">
      <c r="A294" s="1" t="s">
        <v>308</v>
      </c>
      <c r="B294" s="1" t="s">
        <v>308</v>
      </c>
      <c r="C294" s="1">
        <v>1</v>
      </c>
      <c r="D294" s="1">
        <v>2</v>
      </c>
      <c r="E294" s="1" t="s">
        <v>1944</v>
      </c>
      <c r="F294" s="1" t="s">
        <v>729</v>
      </c>
      <c r="G294" s="1" t="s">
        <v>1959</v>
      </c>
      <c r="H294" s="1" t="str">
        <f t="shared" si="4"/>
        <v>prc_hicp_midx_CP0562</v>
      </c>
      <c r="I294" s="1" t="s">
        <v>728</v>
      </c>
      <c r="K294" s="1" t="s">
        <v>1940</v>
      </c>
      <c r="L294" s="1" t="s">
        <v>1257</v>
      </c>
      <c r="M294" s="1" t="s">
        <v>1256</v>
      </c>
      <c r="N294" s="1" t="s">
        <v>725</v>
      </c>
      <c r="Q294" s="1" t="s">
        <v>724</v>
      </c>
      <c r="S294" s="1" t="s">
        <v>1905</v>
      </c>
    </row>
    <row r="295" spans="1:19" ht="12.75" x14ac:dyDescent="0.2">
      <c r="A295" s="1" t="s">
        <v>308</v>
      </c>
      <c r="B295" s="1" t="s">
        <v>308</v>
      </c>
      <c r="C295" s="1">
        <v>1</v>
      </c>
      <c r="D295" s="1">
        <v>2</v>
      </c>
      <c r="E295" s="1" t="s">
        <v>1944</v>
      </c>
      <c r="F295" s="1" t="s">
        <v>729</v>
      </c>
      <c r="G295" s="1" t="s">
        <v>1959</v>
      </c>
      <c r="H295" s="1" t="str">
        <f t="shared" si="4"/>
        <v>prc_hicp_midx_CP05621</v>
      </c>
      <c r="I295" s="1" t="s">
        <v>728</v>
      </c>
      <c r="K295" s="1" t="s">
        <v>1940</v>
      </c>
      <c r="L295" s="1" t="s">
        <v>1255</v>
      </c>
      <c r="M295" s="1" t="s">
        <v>1254</v>
      </c>
      <c r="N295" s="1" t="s">
        <v>725</v>
      </c>
      <c r="Q295" s="1" t="s">
        <v>724</v>
      </c>
      <c r="S295" s="1" t="s">
        <v>1905</v>
      </c>
    </row>
    <row r="296" spans="1:19" ht="12.75" x14ac:dyDescent="0.2">
      <c r="A296" s="1" t="s">
        <v>308</v>
      </c>
      <c r="B296" s="1" t="s">
        <v>308</v>
      </c>
      <c r="C296" s="1">
        <v>1</v>
      </c>
      <c r="D296" s="1">
        <v>2</v>
      </c>
      <c r="E296" s="1" t="s">
        <v>1944</v>
      </c>
      <c r="F296" s="1" t="s">
        <v>729</v>
      </c>
      <c r="G296" s="1" t="s">
        <v>1959</v>
      </c>
      <c r="H296" s="1" t="str">
        <f t="shared" si="4"/>
        <v>prc_hicp_midx_CP05622</v>
      </c>
      <c r="I296" s="1" t="s">
        <v>728</v>
      </c>
      <c r="K296" s="1" t="s">
        <v>1940</v>
      </c>
      <c r="L296" s="1" t="s">
        <v>1253</v>
      </c>
      <c r="M296" s="1" t="s">
        <v>1252</v>
      </c>
      <c r="N296" s="1" t="s">
        <v>725</v>
      </c>
      <c r="Q296" s="1" t="s">
        <v>724</v>
      </c>
      <c r="S296" s="1" t="s">
        <v>1905</v>
      </c>
    </row>
    <row r="297" spans="1:19" ht="12.75" x14ac:dyDescent="0.2">
      <c r="A297" s="1" t="s">
        <v>308</v>
      </c>
      <c r="B297" s="1" t="s">
        <v>308</v>
      </c>
      <c r="C297" s="1">
        <v>1</v>
      </c>
      <c r="D297" s="1">
        <v>2</v>
      </c>
      <c r="E297" s="1" t="s">
        <v>1944</v>
      </c>
      <c r="F297" s="1" t="s">
        <v>729</v>
      </c>
      <c r="G297" s="1" t="s">
        <v>1959</v>
      </c>
      <c r="H297" s="1" t="str">
        <f t="shared" si="4"/>
        <v>prc_hicp_midx_CP05623</v>
      </c>
      <c r="I297" s="1" t="s">
        <v>728</v>
      </c>
      <c r="K297" s="1" t="s">
        <v>1940</v>
      </c>
      <c r="L297" s="1" t="s">
        <v>1251</v>
      </c>
      <c r="M297" s="1" t="s">
        <v>1250</v>
      </c>
      <c r="N297" s="1" t="s">
        <v>725</v>
      </c>
      <c r="Q297" s="1" t="s">
        <v>724</v>
      </c>
      <c r="S297" s="1" t="s">
        <v>1905</v>
      </c>
    </row>
    <row r="298" spans="1:19" ht="12.75" x14ac:dyDescent="0.2">
      <c r="A298" s="1" t="s">
        <v>308</v>
      </c>
      <c r="B298" s="1" t="s">
        <v>308</v>
      </c>
      <c r="C298" s="1">
        <v>1</v>
      </c>
      <c r="D298" s="1">
        <v>2</v>
      </c>
      <c r="E298" s="1" t="s">
        <v>1944</v>
      </c>
      <c r="F298" s="1" t="s">
        <v>729</v>
      </c>
      <c r="G298" s="1" t="s">
        <v>1959</v>
      </c>
      <c r="H298" s="1" t="str">
        <f t="shared" si="4"/>
        <v>prc_hicp_midx_CP05629</v>
      </c>
      <c r="I298" s="1" t="s">
        <v>728</v>
      </c>
      <c r="K298" s="1" t="s">
        <v>1940</v>
      </c>
      <c r="L298" s="1" t="s">
        <v>1249</v>
      </c>
      <c r="M298" s="1" t="s">
        <v>1248</v>
      </c>
      <c r="N298" s="1" t="s">
        <v>725</v>
      </c>
      <c r="Q298" s="1" t="s">
        <v>724</v>
      </c>
      <c r="S298" s="1" t="s">
        <v>1905</v>
      </c>
    </row>
    <row r="299" spans="1:19" ht="12.75" x14ac:dyDescent="0.2">
      <c r="A299" s="1" t="s">
        <v>308</v>
      </c>
      <c r="B299" s="1" t="s">
        <v>308</v>
      </c>
      <c r="C299" s="1">
        <v>1</v>
      </c>
      <c r="D299" s="1">
        <v>2</v>
      </c>
      <c r="E299" s="1" t="s">
        <v>1944</v>
      </c>
      <c r="F299" s="1" t="s">
        <v>729</v>
      </c>
      <c r="G299" s="1" t="s">
        <v>1959</v>
      </c>
      <c r="H299" s="1" t="str">
        <f t="shared" si="4"/>
        <v>prc_hicp_midx_CP06</v>
      </c>
      <c r="I299" s="1" t="s">
        <v>728</v>
      </c>
      <c r="K299" s="1" t="s">
        <v>1940</v>
      </c>
      <c r="L299" s="1" t="s">
        <v>1247</v>
      </c>
      <c r="M299" s="1" t="s">
        <v>1246</v>
      </c>
      <c r="N299" s="1" t="s">
        <v>725</v>
      </c>
      <c r="Q299" s="1" t="s">
        <v>724</v>
      </c>
      <c r="S299" s="1" t="s">
        <v>1905</v>
      </c>
    </row>
    <row r="300" spans="1:19" ht="12.75" x14ac:dyDescent="0.2">
      <c r="A300" s="1" t="s">
        <v>308</v>
      </c>
      <c r="B300" s="1" t="s">
        <v>308</v>
      </c>
      <c r="C300" s="1">
        <v>1</v>
      </c>
      <c r="D300" s="1">
        <v>2</v>
      </c>
      <c r="E300" s="1" t="s">
        <v>1944</v>
      </c>
      <c r="F300" s="1" t="s">
        <v>729</v>
      </c>
      <c r="G300" s="1" t="s">
        <v>1959</v>
      </c>
      <c r="H300" s="1" t="str">
        <f t="shared" si="4"/>
        <v>prc_hicp_midx_CP061</v>
      </c>
      <c r="I300" s="1" t="s">
        <v>728</v>
      </c>
      <c r="K300" s="1" t="s">
        <v>1940</v>
      </c>
      <c r="L300" s="1" t="s">
        <v>1245</v>
      </c>
      <c r="M300" s="1" t="s">
        <v>1244</v>
      </c>
      <c r="N300" s="1" t="s">
        <v>725</v>
      </c>
      <c r="Q300" s="1" t="s">
        <v>724</v>
      </c>
      <c r="S300" s="1" t="s">
        <v>1905</v>
      </c>
    </row>
    <row r="301" spans="1:19" ht="12.75" x14ac:dyDescent="0.2">
      <c r="A301" s="1" t="s">
        <v>308</v>
      </c>
      <c r="B301" s="1" t="s">
        <v>308</v>
      </c>
      <c r="C301" s="1">
        <v>1</v>
      </c>
      <c r="D301" s="1">
        <v>2</v>
      </c>
      <c r="E301" s="1" t="s">
        <v>1944</v>
      </c>
      <c r="F301" s="1" t="s">
        <v>729</v>
      </c>
      <c r="G301" s="1" t="s">
        <v>1959</v>
      </c>
      <c r="H301" s="1" t="str">
        <f t="shared" si="4"/>
        <v>prc_hicp_midx_CP0611</v>
      </c>
      <c r="I301" s="1" t="s">
        <v>728</v>
      </c>
      <c r="K301" s="1" t="s">
        <v>1940</v>
      </c>
      <c r="L301" s="1" t="s">
        <v>1243</v>
      </c>
      <c r="M301" s="1" t="s">
        <v>1242</v>
      </c>
      <c r="N301" s="1" t="s">
        <v>725</v>
      </c>
      <c r="Q301" s="1" t="s">
        <v>724</v>
      </c>
      <c r="S301" s="1" t="s">
        <v>1905</v>
      </c>
    </row>
    <row r="302" spans="1:19" ht="12.75" x14ac:dyDescent="0.2">
      <c r="A302" s="1" t="s">
        <v>308</v>
      </c>
      <c r="B302" s="1" t="s">
        <v>308</v>
      </c>
      <c r="C302" s="1">
        <v>1</v>
      </c>
      <c r="D302" s="1">
        <v>2</v>
      </c>
      <c r="E302" s="1" t="s">
        <v>1944</v>
      </c>
      <c r="F302" s="1" t="s">
        <v>729</v>
      </c>
      <c r="G302" s="1" t="s">
        <v>1959</v>
      </c>
      <c r="H302" s="1" t="str">
        <f t="shared" si="4"/>
        <v>prc_hicp_midx_CP0612</v>
      </c>
      <c r="I302" s="1" t="s">
        <v>728</v>
      </c>
      <c r="K302" s="1" t="s">
        <v>1940</v>
      </c>
      <c r="L302" s="1" t="s">
        <v>1241</v>
      </c>
      <c r="M302" s="1" t="s">
        <v>1240</v>
      </c>
      <c r="N302" s="1" t="s">
        <v>725</v>
      </c>
      <c r="Q302" s="1" t="s">
        <v>724</v>
      </c>
      <c r="S302" s="1" t="s">
        <v>1905</v>
      </c>
    </row>
    <row r="303" spans="1:19" ht="12.75" x14ac:dyDescent="0.2">
      <c r="A303" s="1" t="s">
        <v>308</v>
      </c>
      <c r="B303" s="1" t="s">
        <v>308</v>
      </c>
      <c r="C303" s="1">
        <v>1</v>
      </c>
      <c r="D303" s="1">
        <v>2</v>
      </c>
      <c r="E303" s="1" t="s">
        <v>1944</v>
      </c>
      <c r="F303" s="1" t="s">
        <v>729</v>
      </c>
      <c r="G303" s="1" t="s">
        <v>1959</v>
      </c>
      <c r="H303" s="1" t="str">
        <f t="shared" si="4"/>
        <v>prc_hicp_midx_CP0612_0613</v>
      </c>
      <c r="I303" s="1" t="s">
        <v>728</v>
      </c>
      <c r="K303" s="1" t="s">
        <v>1940</v>
      </c>
      <c r="L303" s="1" t="s">
        <v>1239</v>
      </c>
      <c r="M303" s="1" t="s">
        <v>1238</v>
      </c>
      <c r="N303" s="1" t="s">
        <v>725</v>
      </c>
      <c r="Q303" s="1" t="s">
        <v>724</v>
      </c>
      <c r="S303" s="1" t="s">
        <v>1905</v>
      </c>
    </row>
    <row r="304" spans="1:19" ht="12.75" x14ac:dyDescent="0.2">
      <c r="A304" s="1" t="s">
        <v>308</v>
      </c>
      <c r="B304" s="1" t="s">
        <v>308</v>
      </c>
      <c r="C304" s="1">
        <v>1</v>
      </c>
      <c r="D304" s="1">
        <v>2</v>
      </c>
      <c r="E304" s="1" t="s">
        <v>1944</v>
      </c>
      <c r="F304" s="1" t="s">
        <v>729</v>
      </c>
      <c r="G304" s="1" t="s">
        <v>1959</v>
      </c>
      <c r="H304" s="1" t="str">
        <f t="shared" si="4"/>
        <v>prc_hicp_midx_CP06121</v>
      </c>
      <c r="I304" s="1" t="s">
        <v>728</v>
      </c>
      <c r="K304" s="1" t="s">
        <v>1940</v>
      </c>
      <c r="L304" s="1" t="s">
        <v>1237</v>
      </c>
      <c r="M304" s="1" t="s">
        <v>1236</v>
      </c>
      <c r="N304" s="1" t="s">
        <v>725</v>
      </c>
      <c r="Q304" s="1" t="s">
        <v>724</v>
      </c>
      <c r="S304" s="1" t="s">
        <v>1905</v>
      </c>
    </row>
    <row r="305" spans="1:19" ht="12.75" x14ac:dyDescent="0.2">
      <c r="A305" s="1" t="s">
        <v>308</v>
      </c>
      <c r="B305" s="1" t="s">
        <v>308</v>
      </c>
      <c r="C305" s="1">
        <v>1</v>
      </c>
      <c r="D305" s="1">
        <v>2</v>
      </c>
      <c r="E305" s="1" t="s">
        <v>1944</v>
      </c>
      <c r="F305" s="1" t="s">
        <v>729</v>
      </c>
      <c r="G305" s="1" t="s">
        <v>1959</v>
      </c>
      <c r="H305" s="1" t="str">
        <f t="shared" si="4"/>
        <v>prc_hicp_midx_CP06129</v>
      </c>
      <c r="I305" s="1" t="s">
        <v>728</v>
      </c>
      <c r="K305" s="1" t="s">
        <v>1940</v>
      </c>
      <c r="L305" s="1" t="s">
        <v>1235</v>
      </c>
      <c r="M305" s="1" t="s">
        <v>1234</v>
      </c>
      <c r="N305" s="1" t="s">
        <v>725</v>
      </c>
      <c r="Q305" s="1" t="s">
        <v>724</v>
      </c>
      <c r="S305" s="1" t="s">
        <v>1905</v>
      </c>
    </row>
    <row r="306" spans="1:19" ht="12.75" x14ac:dyDescent="0.2">
      <c r="A306" s="1" t="s">
        <v>308</v>
      </c>
      <c r="B306" s="1" t="s">
        <v>308</v>
      </c>
      <c r="C306" s="1">
        <v>1</v>
      </c>
      <c r="D306" s="1">
        <v>2</v>
      </c>
      <c r="E306" s="1" t="s">
        <v>1944</v>
      </c>
      <c r="F306" s="1" t="s">
        <v>729</v>
      </c>
      <c r="G306" s="1" t="s">
        <v>1959</v>
      </c>
      <c r="H306" s="1" t="str">
        <f t="shared" si="4"/>
        <v>prc_hicp_midx_CP0613</v>
      </c>
      <c r="I306" s="1" t="s">
        <v>728</v>
      </c>
      <c r="K306" s="1" t="s">
        <v>1940</v>
      </c>
      <c r="L306" s="1" t="s">
        <v>1233</v>
      </c>
      <c r="M306" s="1" t="s">
        <v>1232</v>
      </c>
      <c r="N306" s="1" t="s">
        <v>725</v>
      </c>
      <c r="Q306" s="1" t="s">
        <v>724</v>
      </c>
      <c r="S306" s="1" t="s">
        <v>1905</v>
      </c>
    </row>
    <row r="307" spans="1:19" ht="12.75" x14ac:dyDescent="0.2">
      <c r="A307" s="1" t="s">
        <v>308</v>
      </c>
      <c r="B307" s="1" t="s">
        <v>308</v>
      </c>
      <c r="C307" s="1">
        <v>1</v>
      </c>
      <c r="D307" s="1">
        <v>2</v>
      </c>
      <c r="E307" s="1" t="s">
        <v>1944</v>
      </c>
      <c r="F307" s="1" t="s">
        <v>729</v>
      </c>
      <c r="G307" s="1" t="s">
        <v>1959</v>
      </c>
      <c r="H307" s="1" t="str">
        <f t="shared" si="4"/>
        <v>prc_hicp_midx_CP06131</v>
      </c>
      <c r="I307" s="1" t="s">
        <v>728</v>
      </c>
      <c r="K307" s="1" t="s">
        <v>1940</v>
      </c>
      <c r="L307" s="1" t="s">
        <v>1231</v>
      </c>
      <c r="M307" s="1" t="s">
        <v>1230</v>
      </c>
      <c r="N307" s="1" t="s">
        <v>725</v>
      </c>
      <c r="Q307" s="1" t="s">
        <v>724</v>
      </c>
      <c r="S307" s="1" t="s">
        <v>1905</v>
      </c>
    </row>
    <row r="308" spans="1:19" ht="12.75" x14ac:dyDescent="0.2">
      <c r="A308" s="1" t="s">
        <v>308</v>
      </c>
      <c r="B308" s="1" t="s">
        <v>308</v>
      </c>
      <c r="C308" s="1">
        <v>1</v>
      </c>
      <c r="D308" s="1">
        <v>2</v>
      </c>
      <c r="E308" s="1" t="s">
        <v>1944</v>
      </c>
      <c r="F308" s="1" t="s">
        <v>729</v>
      </c>
      <c r="G308" s="1" t="s">
        <v>1959</v>
      </c>
      <c r="H308" s="1" t="str">
        <f t="shared" si="4"/>
        <v>prc_hicp_midx_CP06132</v>
      </c>
      <c r="I308" s="1" t="s">
        <v>728</v>
      </c>
      <c r="K308" s="1" t="s">
        <v>1940</v>
      </c>
      <c r="L308" s="1" t="s">
        <v>1229</v>
      </c>
      <c r="M308" s="1" t="s">
        <v>1228</v>
      </c>
      <c r="N308" s="1" t="s">
        <v>725</v>
      </c>
      <c r="Q308" s="1" t="s">
        <v>724</v>
      </c>
      <c r="S308" s="1" t="s">
        <v>1905</v>
      </c>
    </row>
    <row r="309" spans="1:19" ht="12.75" x14ac:dyDescent="0.2">
      <c r="A309" s="1" t="s">
        <v>308</v>
      </c>
      <c r="B309" s="1" t="s">
        <v>308</v>
      </c>
      <c r="C309" s="1">
        <v>1</v>
      </c>
      <c r="D309" s="1">
        <v>2</v>
      </c>
      <c r="E309" s="1" t="s">
        <v>1944</v>
      </c>
      <c r="F309" s="1" t="s">
        <v>729</v>
      </c>
      <c r="G309" s="1" t="s">
        <v>1959</v>
      </c>
      <c r="H309" s="1" t="str">
        <f t="shared" si="4"/>
        <v>prc_hicp_midx_CP06133</v>
      </c>
      <c r="I309" s="1" t="s">
        <v>728</v>
      </c>
      <c r="K309" s="1" t="s">
        <v>1940</v>
      </c>
      <c r="L309" s="1" t="s">
        <v>1227</v>
      </c>
      <c r="M309" s="1" t="s">
        <v>1226</v>
      </c>
      <c r="N309" s="1" t="s">
        <v>725</v>
      </c>
      <c r="Q309" s="1" t="s">
        <v>724</v>
      </c>
      <c r="S309" s="1" t="s">
        <v>1905</v>
      </c>
    </row>
    <row r="310" spans="1:19" ht="12.75" x14ac:dyDescent="0.2">
      <c r="A310" s="1" t="s">
        <v>308</v>
      </c>
      <c r="B310" s="1" t="s">
        <v>308</v>
      </c>
      <c r="C310" s="1">
        <v>1</v>
      </c>
      <c r="D310" s="1">
        <v>2</v>
      </c>
      <c r="E310" s="1" t="s">
        <v>1944</v>
      </c>
      <c r="F310" s="1" t="s">
        <v>729</v>
      </c>
      <c r="G310" s="1" t="s">
        <v>1959</v>
      </c>
      <c r="H310" s="1" t="str">
        <f t="shared" si="4"/>
        <v>prc_hicp_midx_CP06139</v>
      </c>
      <c r="I310" s="1" t="s">
        <v>728</v>
      </c>
      <c r="K310" s="1" t="s">
        <v>1940</v>
      </c>
      <c r="L310" s="1" t="s">
        <v>1225</v>
      </c>
      <c r="M310" s="1" t="s">
        <v>1224</v>
      </c>
      <c r="N310" s="1" t="s">
        <v>725</v>
      </c>
      <c r="Q310" s="1" t="s">
        <v>724</v>
      </c>
      <c r="S310" s="1" t="s">
        <v>1905</v>
      </c>
    </row>
    <row r="311" spans="1:19" ht="12.75" x14ac:dyDescent="0.2">
      <c r="A311" s="1" t="s">
        <v>308</v>
      </c>
      <c r="B311" s="1" t="s">
        <v>308</v>
      </c>
      <c r="C311" s="1">
        <v>1</v>
      </c>
      <c r="D311" s="1">
        <v>2</v>
      </c>
      <c r="E311" s="1" t="s">
        <v>1944</v>
      </c>
      <c r="F311" s="1" t="s">
        <v>729</v>
      </c>
      <c r="G311" s="1" t="s">
        <v>1959</v>
      </c>
      <c r="H311" s="1" t="str">
        <f t="shared" si="4"/>
        <v>prc_hicp_midx_CP062</v>
      </c>
      <c r="I311" s="1" t="s">
        <v>728</v>
      </c>
      <c r="K311" s="1" t="s">
        <v>1940</v>
      </c>
      <c r="L311" s="1" t="s">
        <v>1223</v>
      </c>
      <c r="M311" s="1" t="s">
        <v>1222</v>
      </c>
      <c r="N311" s="1" t="s">
        <v>725</v>
      </c>
      <c r="Q311" s="1" t="s">
        <v>724</v>
      </c>
      <c r="S311" s="1" t="s">
        <v>1905</v>
      </c>
    </row>
    <row r="312" spans="1:19" ht="12.75" x14ac:dyDescent="0.2">
      <c r="A312" s="1" t="s">
        <v>308</v>
      </c>
      <c r="B312" s="1" t="s">
        <v>308</v>
      </c>
      <c r="C312" s="1">
        <v>1</v>
      </c>
      <c r="D312" s="1">
        <v>2</v>
      </c>
      <c r="E312" s="1" t="s">
        <v>1944</v>
      </c>
      <c r="F312" s="1" t="s">
        <v>729</v>
      </c>
      <c r="G312" s="1" t="s">
        <v>1959</v>
      </c>
      <c r="H312" s="1" t="str">
        <f t="shared" si="4"/>
        <v>prc_hicp_midx_CP0621</v>
      </c>
      <c r="I312" s="1" t="s">
        <v>728</v>
      </c>
      <c r="K312" s="1" t="s">
        <v>1940</v>
      </c>
      <c r="L312" s="1" t="s">
        <v>1221</v>
      </c>
      <c r="M312" s="1" t="s">
        <v>1220</v>
      </c>
      <c r="N312" s="1" t="s">
        <v>725</v>
      </c>
      <c r="Q312" s="1" t="s">
        <v>724</v>
      </c>
      <c r="S312" s="1" t="s">
        <v>1905</v>
      </c>
    </row>
    <row r="313" spans="1:19" ht="12.75" x14ac:dyDescent="0.2">
      <c r="A313" s="1" t="s">
        <v>308</v>
      </c>
      <c r="B313" s="1" t="s">
        <v>308</v>
      </c>
      <c r="C313" s="1">
        <v>1</v>
      </c>
      <c r="D313" s="1">
        <v>2</v>
      </c>
      <c r="E313" s="1" t="s">
        <v>1944</v>
      </c>
      <c r="F313" s="1" t="s">
        <v>729</v>
      </c>
      <c r="G313" s="1" t="s">
        <v>1959</v>
      </c>
      <c r="H313" s="1" t="str">
        <f t="shared" si="4"/>
        <v>prc_hicp_midx_CP0621_0623</v>
      </c>
      <c r="I313" s="1" t="s">
        <v>728</v>
      </c>
      <c r="K313" s="1" t="s">
        <v>1940</v>
      </c>
      <c r="L313" s="1" t="s">
        <v>1219</v>
      </c>
      <c r="M313" s="1" t="s">
        <v>1218</v>
      </c>
      <c r="N313" s="1" t="s">
        <v>725</v>
      </c>
      <c r="Q313" s="1" t="s">
        <v>724</v>
      </c>
      <c r="S313" s="1" t="s">
        <v>1905</v>
      </c>
    </row>
    <row r="314" spans="1:19" ht="12.75" x14ac:dyDescent="0.2">
      <c r="A314" s="1" t="s">
        <v>308</v>
      </c>
      <c r="B314" s="1" t="s">
        <v>308</v>
      </c>
      <c r="C314" s="1">
        <v>1</v>
      </c>
      <c r="D314" s="1">
        <v>2</v>
      </c>
      <c r="E314" s="1" t="s">
        <v>1944</v>
      </c>
      <c r="F314" s="1" t="s">
        <v>729</v>
      </c>
      <c r="G314" s="1" t="s">
        <v>1959</v>
      </c>
      <c r="H314" s="1" t="str">
        <f t="shared" si="4"/>
        <v>prc_hicp_midx_CP06211</v>
      </c>
      <c r="I314" s="1" t="s">
        <v>728</v>
      </c>
      <c r="K314" s="1" t="s">
        <v>1940</v>
      </c>
      <c r="L314" s="1" t="s">
        <v>1217</v>
      </c>
      <c r="M314" s="1" t="s">
        <v>1216</v>
      </c>
      <c r="N314" s="1" t="s">
        <v>725</v>
      </c>
      <c r="Q314" s="1" t="s">
        <v>724</v>
      </c>
      <c r="S314" s="1" t="s">
        <v>1905</v>
      </c>
    </row>
    <row r="315" spans="1:19" ht="12.75" x14ac:dyDescent="0.2">
      <c r="A315" s="1" t="s">
        <v>308</v>
      </c>
      <c r="B315" s="1" t="s">
        <v>308</v>
      </c>
      <c r="C315" s="1">
        <v>1</v>
      </c>
      <c r="D315" s="1">
        <v>2</v>
      </c>
      <c r="E315" s="1" t="s">
        <v>1944</v>
      </c>
      <c r="F315" s="1" t="s">
        <v>729</v>
      </c>
      <c r="G315" s="1" t="s">
        <v>1959</v>
      </c>
      <c r="H315" s="1" t="str">
        <f t="shared" si="4"/>
        <v>prc_hicp_midx_CP06212</v>
      </c>
      <c r="I315" s="1" t="s">
        <v>728</v>
      </c>
      <c r="K315" s="1" t="s">
        <v>1940</v>
      </c>
      <c r="L315" s="1" t="s">
        <v>1215</v>
      </c>
      <c r="M315" s="1" t="s">
        <v>1214</v>
      </c>
      <c r="N315" s="1" t="s">
        <v>725</v>
      </c>
      <c r="Q315" s="1" t="s">
        <v>724</v>
      </c>
      <c r="S315" s="1" t="s">
        <v>1905</v>
      </c>
    </row>
    <row r="316" spans="1:19" ht="12.75" x14ac:dyDescent="0.2">
      <c r="A316" s="1" t="s">
        <v>308</v>
      </c>
      <c r="B316" s="1" t="s">
        <v>308</v>
      </c>
      <c r="C316" s="1">
        <v>1</v>
      </c>
      <c r="D316" s="1">
        <v>2</v>
      </c>
      <c r="E316" s="1" t="s">
        <v>1944</v>
      </c>
      <c r="F316" s="1" t="s">
        <v>729</v>
      </c>
      <c r="G316" s="1" t="s">
        <v>1959</v>
      </c>
      <c r="H316" s="1" t="str">
        <f t="shared" si="4"/>
        <v>prc_hicp_midx_CP0622</v>
      </c>
      <c r="I316" s="1" t="s">
        <v>728</v>
      </c>
      <c r="K316" s="1" t="s">
        <v>1940</v>
      </c>
      <c r="L316" s="1" t="s">
        <v>1213</v>
      </c>
      <c r="M316" s="1" t="s">
        <v>1212</v>
      </c>
      <c r="N316" s="1" t="s">
        <v>725</v>
      </c>
      <c r="Q316" s="1" t="s">
        <v>724</v>
      </c>
      <c r="S316" s="1" t="s">
        <v>1905</v>
      </c>
    </row>
    <row r="317" spans="1:19" ht="12.75" x14ac:dyDescent="0.2">
      <c r="A317" s="1" t="s">
        <v>308</v>
      </c>
      <c r="B317" s="1" t="s">
        <v>308</v>
      </c>
      <c r="C317" s="1">
        <v>1</v>
      </c>
      <c r="D317" s="1">
        <v>2</v>
      </c>
      <c r="E317" s="1" t="s">
        <v>1944</v>
      </c>
      <c r="F317" s="1" t="s">
        <v>729</v>
      </c>
      <c r="G317" s="1" t="s">
        <v>1959</v>
      </c>
      <c r="H317" s="1" t="str">
        <f t="shared" si="4"/>
        <v>prc_hicp_midx_CP0623</v>
      </c>
      <c r="I317" s="1" t="s">
        <v>728</v>
      </c>
      <c r="K317" s="1" t="s">
        <v>1940</v>
      </c>
      <c r="L317" s="1" t="s">
        <v>1211</v>
      </c>
      <c r="M317" s="1" t="s">
        <v>1210</v>
      </c>
      <c r="N317" s="1" t="s">
        <v>725</v>
      </c>
      <c r="Q317" s="1" t="s">
        <v>724</v>
      </c>
      <c r="S317" s="1" t="s">
        <v>1905</v>
      </c>
    </row>
    <row r="318" spans="1:19" ht="12.75" x14ac:dyDescent="0.2">
      <c r="A318" s="1" t="s">
        <v>308</v>
      </c>
      <c r="B318" s="1" t="s">
        <v>308</v>
      </c>
      <c r="C318" s="1">
        <v>1</v>
      </c>
      <c r="D318" s="1">
        <v>2</v>
      </c>
      <c r="E318" s="1" t="s">
        <v>1944</v>
      </c>
      <c r="F318" s="1" t="s">
        <v>729</v>
      </c>
      <c r="G318" s="1" t="s">
        <v>1959</v>
      </c>
      <c r="H318" s="1" t="str">
        <f t="shared" si="4"/>
        <v>prc_hicp_midx_CP06231</v>
      </c>
      <c r="I318" s="1" t="s">
        <v>728</v>
      </c>
      <c r="K318" s="1" t="s">
        <v>1940</v>
      </c>
      <c r="L318" s="1" t="s">
        <v>1209</v>
      </c>
      <c r="M318" s="1" t="s">
        <v>1208</v>
      </c>
      <c r="N318" s="1" t="s">
        <v>725</v>
      </c>
      <c r="Q318" s="1" t="s">
        <v>724</v>
      </c>
      <c r="S318" s="1" t="s">
        <v>1905</v>
      </c>
    </row>
    <row r="319" spans="1:19" ht="12.75" x14ac:dyDescent="0.2">
      <c r="A319" s="1" t="s">
        <v>308</v>
      </c>
      <c r="B319" s="1" t="s">
        <v>308</v>
      </c>
      <c r="C319" s="1">
        <v>1</v>
      </c>
      <c r="D319" s="1">
        <v>2</v>
      </c>
      <c r="E319" s="1" t="s">
        <v>1944</v>
      </c>
      <c r="F319" s="1" t="s">
        <v>729</v>
      </c>
      <c r="G319" s="1" t="s">
        <v>1959</v>
      </c>
      <c r="H319" s="1" t="str">
        <f t="shared" si="4"/>
        <v>prc_hicp_midx_CP06232</v>
      </c>
      <c r="I319" s="1" t="s">
        <v>728</v>
      </c>
      <c r="K319" s="1" t="s">
        <v>1940</v>
      </c>
      <c r="L319" s="1" t="s">
        <v>1207</v>
      </c>
      <c r="M319" s="1" t="s">
        <v>1206</v>
      </c>
      <c r="N319" s="1" t="s">
        <v>725</v>
      </c>
      <c r="Q319" s="1" t="s">
        <v>724</v>
      </c>
      <c r="S319" s="1" t="s">
        <v>1905</v>
      </c>
    </row>
    <row r="320" spans="1:19" ht="12.75" x14ac:dyDescent="0.2">
      <c r="A320" s="1" t="s">
        <v>308</v>
      </c>
      <c r="B320" s="1" t="s">
        <v>308</v>
      </c>
      <c r="C320" s="1">
        <v>1</v>
      </c>
      <c r="D320" s="1">
        <v>2</v>
      </c>
      <c r="E320" s="1" t="s">
        <v>1944</v>
      </c>
      <c r="F320" s="1" t="s">
        <v>729</v>
      </c>
      <c r="G320" s="1" t="s">
        <v>1959</v>
      </c>
      <c r="H320" s="1" t="str">
        <f t="shared" si="4"/>
        <v>prc_hicp_midx_CP06239</v>
      </c>
      <c r="I320" s="1" t="s">
        <v>728</v>
      </c>
      <c r="K320" s="1" t="s">
        <v>1940</v>
      </c>
      <c r="L320" s="1" t="s">
        <v>1205</v>
      </c>
      <c r="M320" s="1" t="s">
        <v>1204</v>
      </c>
      <c r="N320" s="1" t="s">
        <v>725</v>
      </c>
      <c r="Q320" s="1" t="s">
        <v>724</v>
      </c>
      <c r="S320" s="1" t="s">
        <v>1905</v>
      </c>
    </row>
    <row r="321" spans="1:19" ht="12.75" x14ac:dyDescent="0.2">
      <c r="A321" s="1" t="s">
        <v>308</v>
      </c>
      <c r="B321" s="1" t="s">
        <v>308</v>
      </c>
      <c r="C321" s="1">
        <v>1</v>
      </c>
      <c r="D321" s="1">
        <v>2</v>
      </c>
      <c r="E321" s="1" t="s">
        <v>1944</v>
      </c>
      <c r="F321" s="1" t="s">
        <v>729</v>
      </c>
      <c r="G321" s="1" t="s">
        <v>1959</v>
      </c>
      <c r="H321" s="1" t="str">
        <f t="shared" si="4"/>
        <v>prc_hicp_midx_CP063</v>
      </c>
      <c r="I321" s="1" t="s">
        <v>728</v>
      </c>
      <c r="K321" s="1" t="s">
        <v>1940</v>
      </c>
      <c r="L321" s="1" t="s">
        <v>1203</v>
      </c>
      <c r="M321" s="1" t="s">
        <v>1202</v>
      </c>
      <c r="N321" s="1" t="s">
        <v>725</v>
      </c>
      <c r="Q321" s="1" t="s">
        <v>724</v>
      </c>
      <c r="S321" s="1" t="s">
        <v>1905</v>
      </c>
    </row>
    <row r="322" spans="1:19" ht="12.75" x14ac:dyDescent="0.2">
      <c r="A322" s="1" t="s">
        <v>308</v>
      </c>
      <c r="B322" s="1" t="s">
        <v>308</v>
      </c>
      <c r="C322" s="1">
        <v>1</v>
      </c>
      <c r="D322" s="1">
        <v>2</v>
      </c>
      <c r="E322" s="1" t="s">
        <v>1944</v>
      </c>
      <c r="F322" s="1" t="s">
        <v>729</v>
      </c>
      <c r="G322" s="1" t="s">
        <v>1959</v>
      </c>
      <c r="H322" s="1" t="str">
        <f t="shared" si="4"/>
        <v>prc_hicp_midx_CP07</v>
      </c>
      <c r="I322" s="1" t="s">
        <v>728</v>
      </c>
      <c r="K322" s="1" t="s">
        <v>1940</v>
      </c>
      <c r="L322" s="1" t="s">
        <v>1201</v>
      </c>
      <c r="M322" s="1" t="s">
        <v>1200</v>
      </c>
      <c r="N322" s="1" t="s">
        <v>725</v>
      </c>
      <c r="Q322" s="1" t="s">
        <v>724</v>
      </c>
      <c r="S322" s="1" t="s">
        <v>1905</v>
      </c>
    </row>
    <row r="323" spans="1:19" ht="12.75" x14ac:dyDescent="0.2">
      <c r="A323" s="1" t="s">
        <v>308</v>
      </c>
      <c r="B323" s="1" t="s">
        <v>308</v>
      </c>
      <c r="C323" s="1">
        <v>1</v>
      </c>
      <c r="D323" s="1">
        <v>2</v>
      </c>
      <c r="E323" s="1" t="s">
        <v>1944</v>
      </c>
      <c r="F323" s="1" t="s">
        <v>729</v>
      </c>
      <c r="G323" s="1" t="s">
        <v>1959</v>
      </c>
      <c r="H323" s="1" t="str">
        <f t="shared" ref="H323:H386" si="5">+I323&amp;"_"&amp;L323</f>
        <v>prc_hicp_midx_CP071</v>
      </c>
      <c r="I323" s="1" t="s">
        <v>728</v>
      </c>
      <c r="K323" s="1" t="s">
        <v>1940</v>
      </c>
      <c r="L323" s="1" t="s">
        <v>1199</v>
      </c>
      <c r="M323" s="1" t="s">
        <v>1198</v>
      </c>
      <c r="N323" s="1" t="s">
        <v>725</v>
      </c>
      <c r="Q323" s="1" t="s">
        <v>724</v>
      </c>
      <c r="S323" s="1" t="s">
        <v>1905</v>
      </c>
    </row>
    <row r="324" spans="1:19" ht="12.75" x14ac:dyDescent="0.2">
      <c r="A324" s="1" t="s">
        <v>308</v>
      </c>
      <c r="B324" s="1" t="s">
        <v>308</v>
      </c>
      <c r="C324" s="1">
        <v>1</v>
      </c>
      <c r="D324" s="1">
        <v>2</v>
      </c>
      <c r="E324" s="1" t="s">
        <v>1944</v>
      </c>
      <c r="F324" s="1" t="s">
        <v>729</v>
      </c>
      <c r="G324" s="1" t="s">
        <v>1959</v>
      </c>
      <c r="H324" s="1" t="str">
        <f t="shared" si="5"/>
        <v>prc_hicp_midx_CP0711</v>
      </c>
      <c r="I324" s="1" t="s">
        <v>728</v>
      </c>
      <c r="K324" s="1" t="s">
        <v>1940</v>
      </c>
      <c r="L324" s="1" t="s">
        <v>1197</v>
      </c>
      <c r="M324" s="1" t="s">
        <v>1196</v>
      </c>
      <c r="N324" s="1" t="s">
        <v>725</v>
      </c>
      <c r="Q324" s="1" t="s">
        <v>724</v>
      </c>
      <c r="S324" s="1" t="s">
        <v>1905</v>
      </c>
    </row>
    <row r="325" spans="1:19" ht="12.75" x14ac:dyDescent="0.2">
      <c r="A325" s="1" t="s">
        <v>308</v>
      </c>
      <c r="B325" s="1" t="s">
        <v>308</v>
      </c>
      <c r="C325" s="1">
        <v>1</v>
      </c>
      <c r="D325" s="1">
        <v>2</v>
      </c>
      <c r="E325" s="1" t="s">
        <v>1944</v>
      </c>
      <c r="F325" s="1" t="s">
        <v>729</v>
      </c>
      <c r="G325" s="1" t="s">
        <v>1959</v>
      </c>
      <c r="H325" s="1" t="str">
        <f t="shared" si="5"/>
        <v>prc_hicp_midx_CP07111</v>
      </c>
      <c r="I325" s="1" t="s">
        <v>728</v>
      </c>
      <c r="K325" s="1" t="s">
        <v>1940</v>
      </c>
      <c r="L325" s="1" t="s">
        <v>1195</v>
      </c>
      <c r="M325" s="1" t="s">
        <v>1194</v>
      </c>
      <c r="N325" s="1" t="s">
        <v>725</v>
      </c>
      <c r="Q325" s="1" t="s">
        <v>724</v>
      </c>
      <c r="S325" s="1" t="s">
        <v>1905</v>
      </c>
    </row>
    <row r="326" spans="1:19" ht="12.75" x14ac:dyDescent="0.2">
      <c r="A326" s="1" t="s">
        <v>308</v>
      </c>
      <c r="B326" s="1" t="s">
        <v>308</v>
      </c>
      <c r="C326" s="1">
        <v>1</v>
      </c>
      <c r="D326" s="1">
        <v>2</v>
      </c>
      <c r="E326" s="1" t="s">
        <v>1944</v>
      </c>
      <c r="F326" s="1" t="s">
        <v>729</v>
      </c>
      <c r="G326" s="1" t="s">
        <v>1959</v>
      </c>
      <c r="H326" s="1" t="str">
        <f t="shared" si="5"/>
        <v>prc_hicp_midx_CP07112</v>
      </c>
      <c r="I326" s="1" t="s">
        <v>728</v>
      </c>
      <c r="K326" s="1" t="s">
        <v>1940</v>
      </c>
      <c r="L326" s="1" t="s">
        <v>1193</v>
      </c>
      <c r="M326" s="1" t="s">
        <v>1192</v>
      </c>
      <c r="N326" s="1" t="s">
        <v>725</v>
      </c>
      <c r="Q326" s="1" t="s">
        <v>724</v>
      </c>
      <c r="S326" s="1" t="s">
        <v>1905</v>
      </c>
    </row>
    <row r="327" spans="1:19" ht="12.75" x14ac:dyDescent="0.2">
      <c r="A327" s="1" t="s">
        <v>308</v>
      </c>
      <c r="B327" s="1" t="s">
        <v>308</v>
      </c>
      <c r="C327" s="1">
        <v>1</v>
      </c>
      <c r="D327" s="1">
        <v>2</v>
      </c>
      <c r="E327" s="1" t="s">
        <v>1944</v>
      </c>
      <c r="F327" s="1" t="s">
        <v>729</v>
      </c>
      <c r="G327" s="1" t="s">
        <v>1959</v>
      </c>
      <c r="H327" s="1" t="str">
        <f t="shared" si="5"/>
        <v>prc_hicp_midx_CP0712</v>
      </c>
      <c r="I327" s="1" t="s">
        <v>728</v>
      </c>
      <c r="K327" s="1" t="s">
        <v>1940</v>
      </c>
      <c r="L327" s="1" t="s">
        <v>1191</v>
      </c>
      <c r="M327" s="1" t="s">
        <v>1190</v>
      </c>
      <c r="N327" s="1" t="s">
        <v>725</v>
      </c>
      <c r="Q327" s="1" t="s">
        <v>724</v>
      </c>
      <c r="S327" s="1" t="s">
        <v>1905</v>
      </c>
    </row>
    <row r="328" spans="1:19" ht="12.75" x14ac:dyDescent="0.2">
      <c r="A328" s="1" t="s">
        <v>308</v>
      </c>
      <c r="B328" s="1" t="s">
        <v>308</v>
      </c>
      <c r="C328" s="1">
        <v>1</v>
      </c>
      <c r="D328" s="1">
        <v>2</v>
      </c>
      <c r="E328" s="1" t="s">
        <v>1944</v>
      </c>
      <c r="F328" s="1" t="s">
        <v>729</v>
      </c>
      <c r="G328" s="1" t="s">
        <v>1959</v>
      </c>
      <c r="H328" s="1" t="str">
        <f t="shared" si="5"/>
        <v>prc_hicp_midx_CP0712-0714</v>
      </c>
      <c r="I328" s="1" t="s">
        <v>728</v>
      </c>
      <c r="K328" s="1" t="s">
        <v>1940</v>
      </c>
      <c r="L328" s="1" t="s">
        <v>1189</v>
      </c>
      <c r="M328" s="1" t="s">
        <v>1188</v>
      </c>
      <c r="N328" s="1" t="s">
        <v>725</v>
      </c>
      <c r="Q328" s="1" t="s">
        <v>724</v>
      </c>
      <c r="S328" s="1" t="s">
        <v>1905</v>
      </c>
    </row>
    <row r="329" spans="1:19" ht="12.75" x14ac:dyDescent="0.2">
      <c r="A329" s="1" t="s">
        <v>308</v>
      </c>
      <c r="B329" s="1" t="s">
        <v>308</v>
      </c>
      <c r="C329" s="1">
        <v>1</v>
      </c>
      <c r="D329" s="1">
        <v>2</v>
      </c>
      <c r="E329" s="1" t="s">
        <v>1944</v>
      </c>
      <c r="F329" s="1" t="s">
        <v>729</v>
      </c>
      <c r="G329" s="1" t="s">
        <v>1959</v>
      </c>
      <c r="H329" s="1" t="str">
        <f t="shared" si="5"/>
        <v>prc_hicp_midx_CP0713</v>
      </c>
      <c r="I329" s="1" t="s">
        <v>728</v>
      </c>
      <c r="K329" s="1" t="s">
        <v>1940</v>
      </c>
      <c r="L329" s="1" t="s">
        <v>1187</v>
      </c>
      <c r="M329" s="1" t="s">
        <v>1186</v>
      </c>
      <c r="N329" s="1" t="s">
        <v>725</v>
      </c>
      <c r="Q329" s="1" t="s">
        <v>724</v>
      </c>
      <c r="S329" s="1" t="s">
        <v>1905</v>
      </c>
    </row>
    <row r="330" spans="1:19" ht="12.75" x14ac:dyDescent="0.2">
      <c r="A330" s="1" t="s">
        <v>308</v>
      </c>
      <c r="B330" s="1" t="s">
        <v>308</v>
      </c>
      <c r="C330" s="1">
        <v>1</v>
      </c>
      <c r="D330" s="1">
        <v>2</v>
      </c>
      <c r="E330" s="1" t="s">
        <v>1944</v>
      </c>
      <c r="F330" s="1" t="s">
        <v>729</v>
      </c>
      <c r="G330" s="1" t="s">
        <v>1959</v>
      </c>
      <c r="H330" s="1" t="str">
        <f t="shared" si="5"/>
        <v>prc_hicp_midx_CP0714</v>
      </c>
      <c r="I330" s="1" t="s">
        <v>728</v>
      </c>
      <c r="K330" s="1" t="s">
        <v>1940</v>
      </c>
      <c r="L330" s="1" t="s">
        <v>1185</v>
      </c>
      <c r="M330" s="1" t="s">
        <v>1184</v>
      </c>
      <c r="N330" s="1" t="s">
        <v>725</v>
      </c>
      <c r="Q330" s="1" t="s">
        <v>724</v>
      </c>
      <c r="S330" s="1" t="s">
        <v>1905</v>
      </c>
    </row>
    <row r="331" spans="1:19" ht="12.75" x14ac:dyDescent="0.2">
      <c r="A331" s="1" t="s">
        <v>308</v>
      </c>
      <c r="B331" s="1" t="s">
        <v>308</v>
      </c>
      <c r="C331" s="1">
        <v>1</v>
      </c>
      <c r="D331" s="1">
        <v>2</v>
      </c>
      <c r="E331" s="1" t="s">
        <v>1944</v>
      </c>
      <c r="F331" s="1" t="s">
        <v>729</v>
      </c>
      <c r="G331" s="1" t="s">
        <v>1959</v>
      </c>
      <c r="H331" s="1" t="str">
        <f t="shared" si="5"/>
        <v>prc_hicp_midx_CP072</v>
      </c>
      <c r="I331" s="1" t="s">
        <v>728</v>
      </c>
      <c r="K331" s="1" t="s">
        <v>1940</v>
      </c>
      <c r="L331" s="1" t="s">
        <v>1183</v>
      </c>
      <c r="M331" s="1" t="s">
        <v>1182</v>
      </c>
      <c r="N331" s="1" t="s">
        <v>725</v>
      </c>
      <c r="Q331" s="1" t="s">
        <v>724</v>
      </c>
      <c r="S331" s="1" t="s">
        <v>1905</v>
      </c>
    </row>
    <row r="332" spans="1:19" ht="12.75" x14ac:dyDescent="0.2">
      <c r="A332" s="1" t="s">
        <v>308</v>
      </c>
      <c r="B332" s="1" t="s">
        <v>308</v>
      </c>
      <c r="C332" s="1">
        <v>1</v>
      </c>
      <c r="D332" s="1">
        <v>2</v>
      </c>
      <c r="E332" s="1" t="s">
        <v>1944</v>
      </c>
      <c r="F332" s="1" t="s">
        <v>729</v>
      </c>
      <c r="G332" s="1" t="s">
        <v>1959</v>
      </c>
      <c r="H332" s="1" t="str">
        <f t="shared" si="5"/>
        <v>prc_hicp_midx_CP0721</v>
      </c>
      <c r="I332" s="1" t="s">
        <v>728</v>
      </c>
      <c r="K332" s="1" t="s">
        <v>1940</v>
      </c>
      <c r="L332" s="1" t="s">
        <v>1181</v>
      </c>
      <c r="M332" s="1" t="s">
        <v>1180</v>
      </c>
      <c r="N332" s="1" t="s">
        <v>725</v>
      </c>
      <c r="Q332" s="1" t="s">
        <v>724</v>
      </c>
      <c r="S332" s="1" t="s">
        <v>1905</v>
      </c>
    </row>
    <row r="333" spans="1:19" ht="12.75" x14ac:dyDescent="0.2">
      <c r="A333" s="1" t="s">
        <v>308</v>
      </c>
      <c r="B333" s="1" t="s">
        <v>308</v>
      </c>
      <c r="C333" s="1">
        <v>1</v>
      </c>
      <c r="D333" s="1">
        <v>2</v>
      </c>
      <c r="E333" s="1" t="s">
        <v>1944</v>
      </c>
      <c r="F333" s="1" t="s">
        <v>729</v>
      </c>
      <c r="G333" s="1" t="s">
        <v>1959</v>
      </c>
      <c r="H333" s="1" t="str">
        <f t="shared" si="5"/>
        <v>prc_hicp_midx_CP07211</v>
      </c>
      <c r="I333" s="1" t="s">
        <v>728</v>
      </c>
      <c r="K333" s="1" t="s">
        <v>1940</v>
      </c>
      <c r="L333" s="1" t="s">
        <v>1179</v>
      </c>
      <c r="M333" s="1" t="s">
        <v>1178</v>
      </c>
      <c r="N333" s="1" t="s">
        <v>725</v>
      </c>
      <c r="Q333" s="1" t="s">
        <v>724</v>
      </c>
      <c r="S333" s="1" t="s">
        <v>1905</v>
      </c>
    </row>
    <row r="334" spans="1:19" ht="12.75" x14ac:dyDescent="0.2">
      <c r="A334" s="1" t="s">
        <v>308</v>
      </c>
      <c r="B334" s="1" t="s">
        <v>308</v>
      </c>
      <c r="C334" s="1">
        <v>1</v>
      </c>
      <c r="D334" s="1">
        <v>2</v>
      </c>
      <c r="E334" s="1" t="s">
        <v>1944</v>
      </c>
      <c r="F334" s="1" t="s">
        <v>729</v>
      </c>
      <c r="G334" s="1" t="s">
        <v>1959</v>
      </c>
      <c r="H334" s="1" t="str">
        <f t="shared" si="5"/>
        <v>prc_hicp_midx_CP07212</v>
      </c>
      <c r="I334" s="1" t="s">
        <v>728</v>
      </c>
      <c r="K334" s="1" t="s">
        <v>1940</v>
      </c>
      <c r="L334" s="1" t="s">
        <v>1177</v>
      </c>
      <c r="M334" s="1" t="s">
        <v>1176</v>
      </c>
      <c r="N334" s="1" t="s">
        <v>725</v>
      </c>
      <c r="Q334" s="1" t="s">
        <v>724</v>
      </c>
      <c r="S334" s="1" t="s">
        <v>1905</v>
      </c>
    </row>
    <row r="335" spans="1:19" ht="12.75" x14ac:dyDescent="0.2">
      <c r="A335" s="1" t="s">
        <v>308</v>
      </c>
      <c r="B335" s="1" t="s">
        <v>308</v>
      </c>
      <c r="C335" s="1">
        <v>1</v>
      </c>
      <c r="D335" s="1">
        <v>2</v>
      </c>
      <c r="E335" s="1" t="s">
        <v>1944</v>
      </c>
      <c r="F335" s="1" t="s">
        <v>729</v>
      </c>
      <c r="G335" s="1" t="s">
        <v>1959</v>
      </c>
      <c r="H335" s="1" t="str">
        <f t="shared" si="5"/>
        <v>prc_hicp_midx_CP07213</v>
      </c>
      <c r="I335" s="1" t="s">
        <v>728</v>
      </c>
      <c r="K335" s="1" t="s">
        <v>1940</v>
      </c>
      <c r="L335" s="1" t="s">
        <v>1175</v>
      </c>
      <c r="M335" s="1" t="s">
        <v>1174</v>
      </c>
      <c r="N335" s="1" t="s">
        <v>725</v>
      </c>
      <c r="Q335" s="1" t="s">
        <v>724</v>
      </c>
      <c r="S335" s="1" t="s">
        <v>1905</v>
      </c>
    </row>
    <row r="336" spans="1:19" ht="12.75" x14ac:dyDescent="0.2">
      <c r="A336" s="1" t="s">
        <v>308</v>
      </c>
      <c r="B336" s="1" t="s">
        <v>308</v>
      </c>
      <c r="C336" s="1">
        <v>1</v>
      </c>
      <c r="D336" s="1">
        <v>2</v>
      </c>
      <c r="E336" s="1" t="s">
        <v>1944</v>
      </c>
      <c r="F336" s="1" t="s">
        <v>729</v>
      </c>
      <c r="G336" s="1" t="s">
        <v>1959</v>
      </c>
      <c r="H336" s="1" t="str">
        <f t="shared" si="5"/>
        <v>prc_hicp_midx_CP0722</v>
      </c>
      <c r="I336" s="1" t="s">
        <v>728</v>
      </c>
      <c r="K336" s="1" t="s">
        <v>1940</v>
      </c>
      <c r="L336" s="1" t="s">
        <v>1173</v>
      </c>
      <c r="M336" s="1" t="s">
        <v>1172</v>
      </c>
      <c r="N336" s="1" t="s">
        <v>725</v>
      </c>
      <c r="Q336" s="1" t="s">
        <v>724</v>
      </c>
      <c r="S336" s="1" t="s">
        <v>1905</v>
      </c>
    </row>
    <row r="337" spans="1:19" ht="12.75" x14ac:dyDescent="0.2">
      <c r="A337" s="1" t="s">
        <v>308</v>
      </c>
      <c r="B337" s="1" t="s">
        <v>308</v>
      </c>
      <c r="C337" s="1">
        <v>1</v>
      </c>
      <c r="D337" s="1">
        <v>2</v>
      </c>
      <c r="E337" s="1" t="s">
        <v>1944</v>
      </c>
      <c r="F337" s="1" t="s">
        <v>729</v>
      </c>
      <c r="G337" s="1" t="s">
        <v>1959</v>
      </c>
      <c r="H337" s="1" t="str">
        <f t="shared" si="5"/>
        <v>prc_hicp_midx_CP07221</v>
      </c>
      <c r="I337" s="1" t="s">
        <v>728</v>
      </c>
      <c r="K337" s="1" t="s">
        <v>1940</v>
      </c>
      <c r="L337" s="1" t="s">
        <v>1171</v>
      </c>
      <c r="M337" s="1" t="s">
        <v>1170</v>
      </c>
      <c r="N337" s="1" t="s">
        <v>725</v>
      </c>
      <c r="Q337" s="1" t="s">
        <v>724</v>
      </c>
      <c r="S337" s="1" t="s">
        <v>1905</v>
      </c>
    </row>
    <row r="338" spans="1:19" ht="12.75" x14ac:dyDescent="0.2">
      <c r="A338" s="1" t="s">
        <v>308</v>
      </c>
      <c r="B338" s="1" t="s">
        <v>308</v>
      </c>
      <c r="C338" s="1">
        <v>1</v>
      </c>
      <c r="D338" s="1">
        <v>2</v>
      </c>
      <c r="E338" s="1" t="s">
        <v>1944</v>
      </c>
      <c r="F338" s="1" t="s">
        <v>729</v>
      </c>
      <c r="G338" s="1" t="s">
        <v>1959</v>
      </c>
      <c r="H338" s="1" t="str">
        <f t="shared" si="5"/>
        <v>prc_hicp_midx_CP07222</v>
      </c>
      <c r="I338" s="1" t="s">
        <v>728</v>
      </c>
      <c r="K338" s="1" t="s">
        <v>1940</v>
      </c>
      <c r="L338" s="1" t="s">
        <v>1169</v>
      </c>
      <c r="M338" s="1" t="s">
        <v>1168</v>
      </c>
      <c r="N338" s="1" t="s">
        <v>725</v>
      </c>
      <c r="Q338" s="1" t="s">
        <v>724</v>
      </c>
      <c r="S338" s="1" t="s">
        <v>1905</v>
      </c>
    </row>
    <row r="339" spans="1:19" ht="12.75" x14ac:dyDescent="0.2">
      <c r="A339" s="1" t="s">
        <v>308</v>
      </c>
      <c r="B339" s="1" t="s">
        <v>308</v>
      </c>
      <c r="C339" s="1">
        <v>1</v>
      </c>
      <c r="D339" s="1">
        <v>2</v>
      </c>
      <c r="E339" s="1" t="s">
        <v>1944</v>
      </c>
      <c r="F339" s="1" t="s">
        <v>729</v>
      </c>
      <c r="G339" s="1" t="s">
        <v>1959</v>
      </c>
      <c r="H339" s="1" t="str">
        <f t="shared" si="5"/>
        <v>prc_hicp_midx_CP07223</v>
      </c>
      <c r="I339" s="1" t="s">
        <v>728</v>
      </c>
      <c r="K339" s="1" t="s">
        <v>1940</v>
      </c>
      <c r="L339" s="1" t="s">
        <v>1167</v>
      </c>
      <c r="M339" s="1" t="s">
        <v>1166</v>
      </c>
      <c r="N339" s="1" t="s">
        <v>725</v>
      </c>
      <c r="Q339" s="1" t="s">
        <v>724</v>
      </c>
      <c r="S339" s="1" t="s">
        <v>1905</v>
      </c>
    </row>
    <row r="340" spans="1:19" ht="12.75" x14ac:dyDescent="0.2">
      <c r="A340" s="1" t="s">
        <v>308</v>
      </c>
      <c r="B340" s="1" t="s">
        <v>308</v>
      </c>
      <c r="C340" s="1">
        <v>1</v>
      </c>
      <c r="D340" s="1">
        <v>2</v>
      </c>
      <c r="E340" s="1" t="s">
        <v>1944</v>
      </c>
      <c r="F340" s="1" t="s">
        <v>729</v>
      </c>
      <c r="G340" s="1" t="s">
        <v>1959</v>
      </c>
      <c r="H340" s="1" t="str">
        <f t="shared" si="5"/>
        <v>prc_hicp_midx_CP07224</v>
      </c>
      <c r="I340" s="1" t="s">
        <v>728</v>
      </c>
      <c r="K340" s="1" t="s">
        <v>1940</v>
      </c>
      <c r="L340" s="1" t="s">
        <v>1165</v>
      </c>
      <c r="M340" s="1" t="s">
        <v>1164</v>
      </c>
      <c r="N340" s="1" t="s">
        <v>725</v>
      </c>
      <c r="Q340" s="1" t="s">
        <v>724</v>
      </c>
      <c r="S340" s="1" t="s">
        <v>1905</v>
      </c>
    </row>
    <row r="341" spans="1:19" ht="12.75" x14ac:dyDescent="0.2">
      <c r="A341" s="1" t="s">
        <v>308</v>
      </c>
      <c r="B341" s="1" t="s">
        <v>308</v>
      </c>
      <c r="C341" s="1">
        <v>1</v>
      </c>
      <c r="D341" s="1">
        <v>2</v>
      </c>
      <c r="E341" s="1" t="s">
        <v>1944</v>
      </c>
      <c r="F341" s="1" t="s">
        <v>729</v>
      </c>
      <c r="G341" s="1" t="s">
        <v>1959</v>
      </c>
      <c r="H341" s="1" t="str">
        <f t="shared" si="5"/>
        <v>prc_hicp_midx_CP0723</v>
      </c>
      <c r="I341" s="1" t="s">
        <v>728</v>
      </c>
      <c r="K341" s="1" t="s">
        <v>1940</v>
      </c>
      <c r="L341" s="1" t="s">
        <v>1163</v>
      </c>
      <c r="M341" s="1" t="s">
        <v>1162</v>
      </c>
      <c r="N341" s="1" t="s">
        <v>725</v>
      </c>
      <c r="Q341" s="1" t="s">
        <v>724</v>
      </c>
      <c r="S341" s="1" t="s">
        <v>1905</v>
      </c>
    </row>
    <row r="342" spans="1:19" ht="12.75" x14ac:dyDescent="0.2">
      <c r="A342" s="1" t="s">
        <v>308</v>
      </c>
      <c r="B342" s="1" t="s">
        <v>308</v>
      </c>
      <c r="C342" s="1">
        <v>1</v>
      </c>
      <c r="D342" s="1">
        <v>2</v>
      </c>
      <c r="E342" s="1" t="s">
        <v>1944</v>
      </c>
      <c r="F342" s="1" t="s">
        <v>729</v>
      </c>
      <c r="G342" s="1" t="s">
        <v>1959</v>
      </c>
      <c r="H342" s="1" t="str">
        <f t="shared" si="5"/>
        <v>prc_hicp_midx_CP0724</v>
      </c>
      <c r="I342" s="1" t="s">
        <v>728</v>
      </c>
      <c r="K342" s="1" t="s">
        <v>1940</v>
      </c>
      <c r="L342" s="1" t="s">
        <v>1161</v>
      </c>
      <c r="M342" s="1" t="s">
        <v>1160</v>
      </c>
      <c r="N342" s="1" t="s">
        <v>725</v>
      </c>
      <c r="Q342" s="1" t="s">
        <v>724</v>
      </c>
      <c r="S342" s="1" t="s">
        <v>1905</v>
      </c>
    </row>
    <row r="343" spans="1:19" ht="12.75" x14ac:dyDescent="0.2">
      <c r="A343" s="1" t="s">
        <v>308</v>
      </c>
      <c r="B343" s="1" t="s">
        <v>308</v>
      </c>
      <c r="C343" s="1">
        <v>1</v>
      </c>
      <c r="D343" s="1">
        <v>2</v>
      </c>
      <c r="E343" s="1" t="s">
        <v>1944</v>
      </c>
      <c r="F343" s="1" t="s">
        <v>729</v>
      </c>
      <c r="G343" s="1" t="s">
        <v>1959</v>
      </c>
      <c r="H343" s="1" t="str">
        <f t="shared" si="5"/>
        <v>prc_hicp_midx_CP07241</v>
      </c>
      <c r="I343" s="1" t="s">
        <v>728</v>
      </c>
      <c r="K343" s="1" t="s">
        <v>1940</v>
      </c>
      <c r="L343" s="1" t="s">
        <v>1159</v>
      </c>
      <c r="M343" s="1" t="s">
        <v>1158</v>
      </c>
      <c r="N343" s="1" t="s">
        <v>725</v>
      </c>
      <c r="Q343" s="1" t="s">
        <v>724</v>
      </c>
      <c r="S343" s="1" t="s">
        <v>1905</v>
      </c>
    </row>
    <row r="344" spans="1:19" ht="12.75" x14ac:dyDescent="0.2">
      <c r="A344" s="1" t="s">
        <v>308</v>
      </c>
      <c r="B344" s="1" t="s">
        <v>308</v>
      </c>
      <c r="C344" s="1">
        <v>1</v>
      </c>
      <c r="D344" s="1">
        <v>2</v>
      </c>
      <c r="E344" s="1" t="s">
        <v>1944</v>
      </c>
      <c r="F344" s="1" t="s">
        <v>729</v>
      </c>
      <c r="G344" s="1" t="s">
        <v>1959</v>
      </c>
      <c r="H344" s="1" t="str">
        <f t="shared" si="5"/>
        <v>prc_hicp_midx_CP07242</v>
      </c>
      <c r="I344" s="1" t="s">
        <v>728</v>
      </c>
      <c r="K344" s="1" t="s">
        <v>1940</v>
      </c>
      <c r="L344" s="1" t="s">
        <v>1157</v>
      </c>
      <c r="M344" s="1" t="s">
        <v>1156</v>
      </c>
      <c r="N344" s="1" t="s">
        <v>725</v>
      </c>
      <c r="Q344" s="1" t="s">
        <v>724</v>
      </c>
      <c r="S344" s="1" t="s">
        <v>1905</v>
      </c>
    </row>
    <row r="345" spans="1:19" ht="12.75" x14ac:dyDescent="0.2">
      <c r="A345" s="1" t="s">
        <v>308</v>
      </c>
      <c r="B345" s="1" t="s">
        <v>308</v>
      </c>
      <c r="C345" s="1">
        <v>1</v>
      </c>
      <c r="D345" s="1">
        <v>2</v>
      </c>
      <c r="E345" s="1" t="s">
        <v>1944</v>
      </c>
      <c r="F345" s="1" t="s">
        <v>729</v>
      </c>
      <c r="G345" s="1" t="s">
        <v>1959</v>
      </c>
      <c r="H345" s="1" t="str">
        <f t="shared" si="5"/>
        <v>prc_hicp_midx_CP07243</v>
      </c>
      <c r="I345" s="1" t="s">
        <v>728</v>
      </c>
      <c r="K345" s="1" t="s">
        <v>1940</v>
      </c>
      <c r="L345" s="1" t="s">
        <v>1155</v>
      </c>
      <c r="M345" s="1" t="s">
        <v>1154</v>
      </c>
      <c r="N345" s="1" t="s">
        <v>725</v>
      </c>
      <c r="Q345" s="1" t="s">
        <v>724</v>
      </c>
      <c r="S345" s="1" t="s">
        <v>1905</v>
      </c>
    </row>
    <row r="346" spans="1:19" ht="12.75" x14ac:dyDescent="0.2">
      <c r="A346" s="1" t="s">
        <v>308</v>
      </c>
      <c r="B346" s="1" t="s">
        <v>308</v>
      </c>
      <c r="C346" s="1">
        <v>1</v>
      </c>
      <c r="D346" s="1">
        <v>2</v>
      </c>
      <c r="E346" s="1" t="s">
        <v>1944</v>
      </c>
      <c r="F346" s="1" t="s">
        <v>729</v>
      </c>
      <c r="G346" s="1" t="s">
        <v>1959</v>
      </c>
      <c r="H346" s="1" t="str">
        <f t="shared" si="5"/>
        <v>prc_hicp_midx_CP073</v>
      </c>
      <c r="I346" s="1" t="s">
        <v>728</v>
      </c>
      <c r="K346" s="1" t="s">
        <v>1940</v>
      </c>
      <c r="L346" s="1" t="s">
        <v>1153</v>
      </c>
      <c r="M346" s="1" t="s">
        <v>1152</v>
      </c>
      <c r="N346" s="1" t="s">
        <v>725</v>
      </c>
      <c r="Q346" s="1" t="s">
        <v>724</v>
      </c>
      <c r="S346" s="1" t="s">
        <v>1905</v>
      </c>
    </row>
    <row r="347" spans="1:19" ht="12.75" x14ac:dyDescent="0.2">
      <c r="A347" s="1" t="s">
        <v>308</v>
      </c>
      <c r="B347" s="1" t="s">
        <v>308</v>
      </c>
      <c r="C347" s="1">
        <v>1</v>
      </c>
      <c r="D347" s="1">
        <v>2</v>
      </c>
      <c r="E347" s="1" t="s">
        <v>1944</v>
      </c>
      <c r="F347" s="1" t="s">
        <v>729</v>
      </c>
      <c r="G347" s="1" t="s">
        <v>1959</v>
      </c>
      <c r="H347" s="1" t="str">
        <f t="shared" si="5"/>
        <v>prc_hicp_midx_CP0731</v>
      </c>
      <c r="I347" s="1" t="s">
        <v>728</v>
      </c>
      <c r="K347" s="1" t="s">
        <v>1940</v>
      </c>
      <c r="L347" s="1" t="s">
        <v>1151</v>
      </c>
      <c r="M347" s="1" t="s">
        <v>1150</v>
      </c>
      <c r="N347" s="1" t="s">
        <v>725</v>
      </c>
      <c r="Q347" s="1" t="s">
        <v>724</v>
      </c>
      <c r="S347" s="1" t="s">
        <v>1905</v>
      </c>
    </row>
    <row r="348" spans="1:19" ht="12.75" x14ac:dyDescent="0.2">
      <c r="A348" s="1" t="s">
        <v>308</v>
      </c>
      <c r="B348" s="1" t="s">
        <v>308</v>
      </c>
      <c r="C348" s="1">
        <v>1</v>
      </c>
      <c r="D348" s="1">
        <v>2</v>
      </c>
      <c r="E348" s="1" t="s">
        <v>1944</v>
      </c>
      <c r="F348" s="1" t="s">
        <v>729</v>
      </c>
      <c r="G348" s="1" t="s">
        <v>1959</v>
      </c>
      <c r="H348" s="1" t="str">
        <f t="shared" si="5"/>
        <v>prc_hicp_midx_CP07311</v>
      </c>
      <c r="I348" s="1" t="s">
        <v>728</v>
      </c>
      <c r="K348" s="1" t="s">
        <v>1940</v>
      </c>
      <c r="L348" s="1" t="s">
        <v>1149</v>
      </c>
      <c r="M348" s="1" t="s">
        <v>1148</v>
      </c>
      <c r="N348" s="1" t="s">
        <v>725</v>
      </c>
      <c r="Q348" s="1" t="s">
        <v>724</v>
      </c>
      <c r="S348" s="1" t="s">
        <v>1905</v>
      </c>
    </row>
    <row r="349" spans="1:19" ht="12.75" x14ac:dyDescent="0.2">
      <c r="A349" s="1" t="s">
        <v>308</v>
      </c>
      <c r="B349" s="1" t="s">
        <v>308</v>
      </c>
      <c r="C349" s="1">
        <v>1</v>
      </c>
      <c r="D349" s="1">
        <v>2</v>
      </c>
      <c r="E349" s="1" t="s">
        <v>1944</v>
      </c>
      <c r="F349" s="1" t="s">
        <v>729</v>
      </c>
      <c r="G349" s="1" t="s">
        <v>1959</v>
      </c>
      <c r="H349" s="1" t="str">
        <f t="shared" si="5"/>
        <v>prc_hicp_midx_CP07312</v>
      </c>
      <c r="I349" s="1" t="s">
        <v>728</v>
      </c>
      <c r="K349" s="1" t="s">
        <v>1940</v>
      </c>
      <c r="L349" s="1" t="s">
        <v>1147</v>
      </c>
      <c r="M349" s="1" t="s">
        <v>1146</v>
      </c>
      <c r="N349" s="1" t="s">
        <v>725</v>
      </c>
      <c r="Q349" s="1" t="s">
        <v>724</v>
      </c>
      <c r="S349" s="1" t="s">
        <v>1905</v>
      </c>
    </row>
    <row r="350" spans="1:19" ht="12.75" x14ac:dyDescent="0.2">
      <c r="A350" s="1" t="s">
        <v>308</v>
      </c>
      <c r="B350" s="1" t="s">
        <v>308</v>
      </c>
      <c r="C350" s="1">
        <v>1</v>
      </c>
      <c r="D350" s="1">
        <v>2</v>
      </c>
      <c r="E350" s="1" t="s">
        <v>1944</v>
      </c>
      <c r="F350" s="1" t="s">
        <v>729</v>
      </c>
      <c r="G350" s="1" t="s">
        <v>1959</v>
      </c>
      <c r="H350" s="1" t="str">
        <f t="shared" si="5"/>
        <v>prc_hicp_midx_CP0732</v>
      </c>
      <c r="I350" s="1" t="s">
        <v>728</v>
      </c>
      <c r="K350" s="1" t="s">
        <v>1940</v>
      </c>
      <c r="L350" s="1" t="s">
        <v>1145</v>
      </c>
      <c r="M350" s="1" t="s">
        <v>1144</v>
      </c>
      <c r="N350" s="1" t="s">
        <v>725</v>
      </c>
      <c r="Q350" s="1" t="s">
        <v>724</v>
      </c>
      <c r="S350" s="1" t="s">
        <v>1905</v>
      </c>
    </row>
    <row r="351" spans="1:19" ht="12.75" x14ac:dyDescent="0.2">
      <c r="A351" s="1" t="s">
        <v>308</v>
      </c>
      <c r="B351" s="1" t="s">
        <v>308</v>
      </c>
      <c r="C351" s="1">
        <v>1</v>
      </c>
      <c r="D351" s="1">
        <v>2</v>
      </c>
      <c r="E351" s="1" t="s">
        <v>1944</v>
      </c>
      <c r="F351" s="1" t="s">
        <v>729</v>
      </c>
      <c r="G351" s="1" t="s">
        <v>1959</v>
      </c>
      <c r="H351" s="1" t="str">
        <f t="shared" si="5"/>
        <v>prc_hicp_midx_CP07321</v>
      </c>
      <c r="I351" s="1" t="s">
        <v>728</v>
      </c>
      <c r="K351" s="1" t="s">
        <v>1940</v>
      </c>
      <c r="L351" s="1" t="s">
        <v>1143</v>
      </c>
      <c r="M351" s="1" t="s">
        <v>1142</v>
      </c>
      <c r="N351" s="1" t="s">
        <v>725</v>
      </c>
      <c r="Q351" s="1" t="s">
        <v>724</v>
      </c>
      <c r="S351" s="1" t="s">
        <v>1905</v>
      </c>
    </row>
    <row r="352" spans="1:19" ht="12.75" x14ac:dyDescent="0.2">
      <c r="A352" s="1" t="s">
        <v>308</v>
      </c>
      <c r="B352" s="1" t="s">
        <v>308</v>
      </c>
      <c r="C352" s="1">
        <v>1</v>
      </c>
      <c r="D352" s="1">
        <v>2</v>
      </c>
      <c r="E352" s="1" t="s">
        <v>1944</v>
      </c>
      <c r="F352" s="1" t="s">
        <v>729</v>
      </c>
      <c r="G352" s="1" t="s">
        <v>1959</v>
      </c>
      <c r="H352" s="1" t="str">
        <f t="shared" si="5"/>
        <v>prc_hicp_midx_CP07322</v>
      </c>
      <c r="I352" s="1" t="s">
        <v>728</v>
      </c>
      <c r="K352" s="1" t="s">
        <v>1940</v>
      </c>
      <c r="L352" s="1" t="s">
        <v>1141</v>
      </c>
      <c r="M352" s="1" t="s">
        <v>1140</v>
      </c>
      <c r="N352" s="1" t="s">
        <v>725</v>
      </c>
      <c r="Q352" s="1" t="s">
        <v>724</v>
      </c>
      <c r="S352" s="1" t="s">
        <v>1905</v>
      </c>
    </row>
    <row r="353" spans="1:19" x14ac:dyDescent="0.25">
      <c r="A353" s="1" t="s">
        <v>308</v>
      </c>
      <c r="B353" s="1" t="s">
        <v>308</v>
      </c>
      <c r="C353" s="1">
        <v>1</v>
      </c>
      <c r="D353" s="1">
        <v>2</v>
      </c>
      <c r="E353" s="1" t="s">
        <v>1944</v>
      </c>
      <c r="F353" s="1" t="s">
        <v>729</v>
      </c>
      <c r="G353" s="1" t="s">
        <v>1959</v>
      </c>
      <c r="H353" s="1" t="str">
        <f t="shared" si="5"/>
        <v>prc_hicp_midx_CP0733</v>
      </c>
      <c r="I353" s="1" t="s">
        <v>728</v>
      </c>
      <c r="K353" s="1" t="s">
        <v>1940</v>
      </c>
      <c r="L353" t="s">
        <v>1139</v>
      </c>
      <c r="M353" s="1" t="s">
        <v>1138</v>
      </c>
      <c r="N353" s="1" t="s">
        <v>725</v>
      </c>
      <c r="Q353" s="1" t="s">
        <v>724</v>
      </c>
      <c r="S353" s="1" t="s">
        <v>1905</v>
      </c>
    </row>
    <row r="354" spans="1:19" x14ac:dyDescent="0.25">
      <c r="A354" s="1" t="s">
        <v>308</v>
      </c>
      <c r="B354" s="1" t="s">
        <v>308</v>
      </c>
      <c r="C354" s="1">
        <v>1</v>
      </c>
      <c r="D354" s="1">
        <v>2</v>
      </c>
      <c r="E354" s="1" t="s">
        <v>1944</v>
      </c>
      <c r="F354" s="1" t="s">
        <v>729</v>
      </c>
      <c r="G354" s="1" t="s">
        <v>1959</v>
      </c>
      <c r="H354" s="1" t="str">
        <f t="shared" si="5"/>
        <v>prc_hicp_midx_CP07331</v>
      </c>
      <c r="I354" s="1" t="s">
        <v>728</v>
      </c>
      <c r="K354" s="1" t="s">
        <v>1940</v>
      </c>
      <c r="L354" t="s">
        <v>1137</v>
      </c>
      <c r="M354" s="1" t="s">
        <v>1136</v>
      </c>
      <c r="N354" s="1" t="s">
        <v>725</v>
      </c>
      <c r="Q354" s="1" t="s">
        <v>724</v>
      </c>
      <c r="S354" s="1" t="s">
        <v>1905</v>
      </c>
    </row>
    <row r="355" spans="1:19" x14ac:dyDescent="0.25">
      <c r="A355" s="1" t="s">
        <v>308</v>
      </c>
      <c r="B355" s="1" t="s">
        <v>308</v>
      </c>
      <c r="C355" s="1">
        <v>1</v>
      </c>
      <c r="D355" s="1">
        <v>2</v>
      </c>
      <c r="E355" s="1" t="s">
        <v>1944</v>
      </c>
      <c r="F355" s="1" t="s">
        <v>729</v>
      </c>
      <c r="G355" s="1" t="s">
        <v>1959</v>
      </c>
      <c r="H355" s="1" t="str">
        <f t="shared" si="5"/>
        <v>prc_hicp_midx_CP07332</v>
      </c>
      <c r="I355" s="1" t="s">
        <v>728</v>
      </c>
      <c r="K355" s="1" t="s">
        <v>1940</v>
      </c>
      <c r="L355" t="s">
        <v>1135</v>
      </c>
      <c r="M355" s="1" t="s">
        <v>1134</v>
      </c>
      <c r="N355" s="1" t="s">
        <v>725</v>
      </c>
      <c r="Q355" s="1" t="s">
        <v>724</v>
      </c>
      <c r="S355" s="1" t="s">
        <v>1905</v>
      </c>
    </row>
    <row r="356" spans="1:19" x14ac:dyDescent="0.25">
      <c r="A356" s="1" t="s">
        <v>308</v>
      </c>
      <c r="B356" s="1" t="s">
        <v>308</v>
      </c>
      <c r="C356" s="1">
        <v>1</v>
      </c>
      <c r="D356" s="1">
        <v>2</v>
      </c>
      <c r="E356" s="1" t="s">
        <v>1944</v>
      </c>
      <c r="F356" s="1" t="s">
        <v>729</v>
      </c>
      <c r="G356" s="1" t="s">
        <v>1959</v>
      </c>
      <c r="H356" s="1" t="str">
        <f t="shared" si="5"/>
        <v>prc_hicp_midx_CP0734</v>
      </c>
      <c r="I356" s="1" t="s">
        <v>728</v>
      </c>
      <c r="K356" s="1" t="s">
        <v>1940</v>
      </c>
      <c r="L356" t="s">
        <v>1133</v>
      </c>
      <c r="M356" s="1" t="s">
        <v>1132</v>
      </c>
      <c r="N356" s="1" t="s">
        <v>725</v>
      </c>
      <c r="Q356" s="1" t="s">
        <v>724</v>
      </c>
      <c r="S356" s="1" t="s">
        <v>1905</v>
      </c>
    </row>
    <row r="357" spans="1:19" x14ac:dyDescent="0.25">
      <c r="A357" s="1" t="s">
        <v>308</v>
      </c>
      <c r="B357" s="1" t="s">
        <v>308</v>
      </c>
      <c r="C357" s="1">
        <v>1</v>
      </c>
      <c r="D357" s="1">
        <v>2</v>
      </c>
      <c r="E357" s="1" t="s">
        <v>1944</v>
      </c>
      <c r="F357" s="1" t="s">
        <v>729</v>
      </c>
      <c r="G357" s="1" t="s">
        <v>1959</v>
      </c>
      <c r="H357" s="1" t="str">
        <f t="shared" si="5"/>
        <v>prc_hicp_midx_CP07341</v>
      </c>
      <c r="I357" s="1" t="s">
        <v>728</v>
      </c>
      <c r="K357" s="1" t="s">
        <v>1940</v>
      </c>
      <c r="L357" t="s">
        <v>1131</v>
      </c>
      <c r="M357" s="1" t="s">
        <v>1130</v>
      </c>
      <c r="N357" s="1" t="s">
        <v>725</v>
      </c>
      <c r="Q357" s="1" t="s">
        <v>724</v>
      </c>
      <c r="S357" s="1" t="s">
        <v>1905</v>
      </c>
    </row>
    <row r="358" spans="1:19" x14ac:dyDescent="0.25">
      <c r="A358" s="1" t="s">
        <v>308</v>
      </c>
      <c r="B358" s="1" t="s">
        <v>308</v>
      </c>
      <c r="C358" s="1">
        <v>1</v>
      </c>
      <c r="D358" s="1">
        <v>2</v>
      </c>
      <c r="E358" s="1" t="s">
        <v>1944</v>
      </c>
      <c r="F358" s="1" t="s">
        <v>729</v>
      </c>
      <c r="G358" s="1" t="s">
        <v>1959</v>
      </c>
      <c r="H358" s="1" t="str">
        <f t="shared" si="5"/>
        <v>prc_hicp_midx_CP07342</v>
      </c>
      <c r="I358" s="1" t="s">
        <v>728</v>
      </c>
      <c r="K358" s="1" t="s">
        <v>1940</v>
      </c>
      <c r="L358" t="s">
        <v>1129</v>
      </c>
      <c r="M358" s="1" t="s">
        <v>1128</v>
      </c>
      <c r="N358" s="1" t="s">
        <v>725</v>
      </c>
      <c r="Q358" s="1" t="s">
        <v>724</v>
      </c>
      <c r="S358" s="1" t="s">
        <v>1905</v>
      </c>
    </row>
    <row r="359" spans="1:19" x14ac:dyDescent="0.25">
      <c r="A359" s="1" t="s">
        <v>308</v>
      </c>
      <c r="B359" s="1" t="s">
        <v>308</v>
      </c>
      <c r="C359" s="1">
        <v>1</v>
      </c>
      <c r="D359" s="1">
        <v>2</v>
      </c>
      <c r="E359" s="1" t="s">
        <v>1944</v>
      </c>
      <c r="F359" s="1" t="s">
        <v>729</v>
      </c>
      <c r="G359" s="1" t="s">
        <v>1959</v>
      </c>
      <c r="H359" s="1" t="str">
        <f t="shared" si="5"/>
        <v>prc_hicp_midx_CP0735</v>
      </c>
      <c r="I359" s="1" t="s">
        <v>728</v>
      </c>
      <c r="K359" s="1" t="s">
        <v>1940</v>
      </c>
      <c r="L359" t="s">
        <v>1127</v>
      </c>
      <c r="M359" s="1" t="s">
        <v>1126</v>
      </c>
      <c r="N359" s="1" t="s">
        <v>725</v>
      </c>
      <c r="Q359" s="1" t="s">
        <v>724</v>
      </c>
      <c r="S359" s="1" t="s">
        <v>1905</v>
      </c>
    </row>
    <row r="360" spans="1:19" x14ac:dyDescent="0.25">
      <c r="A360" s="1" t="s">
        <v>308</v>
      </c>
      <c r="B360" s="1" t="s">
        <v>308</v>
      </c>
      <c r="C360" s="1">
        <v>1</v>
      </c>
      <c r="D360" s="1">
        <v>2</v>
      </c>
      <c r="E360" s="1" t="s">
        <v>1944</v>
      </c>
      <c r="F360" s="1" t="s">
        <v>729</v>
      </c>
      <c r="G360" s="1" t="s">
        <v>1959</v>
      </c>
      <c r="H360" s="1" t="str">
        <f t="shared" si="5"/>
        <v>prc_hicp_midx_CP0736</v>
      </c>
      <c r="I360" s="1" t="s">
        <v>728</v>
      </c>
      <c r="K360" s="1" t="s">
        <v>1940</v>
      </c>
      <c r="L360" t="s">
        <v>1125</v>
      </c>
      <c r="M360" s="1" t="s">
        <v>1124</v>
      </c>
      <c r="N360" s="1" t="s">
        <v>725</v>
      </c>
      <c r="Q360" s="1" t="s">
        <v>724</v>
      </c>
      <c r="S360" s="1" t="s">
        <v>1905</v>
      </c>
    </row>
    <row r="361" spans="1:19" x14ac:dyDescent="0.25">
      <c r="A361" s="1" t="s">
        <v>308</v>
      </c>
      <c r="B361" s="1" t="s">
        <v>308</v>
      </c>
      <c r="C361" s="1">
        <v>1</v>
      </c>
      <c r="D361" s="1">
        <v>2</v>
      </c>
      <c r="E361" s="1" t="s">
        <v>1944</v>
      </c>
      <c r="F361" s="1" t="s">
        <v>729</v>
      </c>
      <c r="G361" s="1" t="s">
        <v>1959</v>
      </c>
      <c r="H361" s="1" t="str">
        <f t="shared" si="5"/>
        <v>prc_hicp_midx_CP07361</v>
      </c>
      <c r="I361" s="1" t="s">
        <v>728</v>
      </c>
      <c r="K361" s="1" t="s">
        <v>1940</v>
      </c>
      <c r="L361" t="s">
        <v>1123</v>
      </c>
      <c r="M361" s="1" t="s">
        <v>1122</v>
      </c>
      <c r="N361" s="1" t="s">
        <v>725</v>
      </c>
      <c r="Q361" s="1" t="s">
        <v>724</v>
      </c>
      <c r="S361" s="1" t="s">
        <v>1905</v>
      </c>
    </row>
    <row r="362" spans="1:19" x14ac:dyDescent="0.25">
      <c r="A362" s="1" t="s">
        <v>308</v>
      </c>
      <c r="B362" s="1" t="s">
        <v>308</v>
      </c>
      <c r="C362" s="1">
        <v>1</v>
      </c>
      <c r="D362" s="1">
        <v>2</v>
      </c>
      <c r="E362" s="1" t="s">
        <v>1944</v>
      </c>
      <c r="F362" s="1" t="s">
        <v>729</v>
      </c>
      <c r="G362" s="1" t="s">
        <v>1959</v>
      </c>
      <c r="H362" s="1" t="str">
        <f t="shared" si="5"/>
        <v>prc_hicp_midx_CP07362</v>
      </c>
      <c r="I362" s="1" t="s">
        <v>728</v>
      </c>
      <c r="K362" s="1" t="s">
        <v>1940</v>
      </c>
      <c r="L362" t="s">
        <v>1121</v>
      </c>
      <c r="M362" s="1" t="s">
        <v>1120</v>
      </c>
      <c r="N362" s="1" t="s">
        <v>725</v>
      </c>
      <c r="Q362" s="1" t="s">
        <v>724</v>
      </c>
      <c r="S362" s="1" t="s">
        <v>1905</v>
      </c>
    </row>
    <row r="363" spans="1:19" x14ac:dyDescent="0.25">
      <c r="A363" s="1" t="s">
        <v>308</v>
      </c>
      <c r="B363" s="1" t="s">
        <v>308</v>
      </c>
      <c r="C363" s="1">
        <v>1</v>
      </c>
      <c r="D363" s="1">
        <v>2</v>
      </c>
      <c r="E363" s="1" t="s">
        <v>1944</v>
      </c>
      <c r="F363" s="1" t="s">
        <v>729</v>
      </c>
      <c r="G363" s="1" t="s">
        <v>1959</v>
      </c>
      <c r="H363" s="1" t="str">
        <f t="shared" si="5"/>
        <v>prc_hicp_midx_CP07369</v>
      </c>
      <c r="I363" s="1" t="s">
        <v>728</v>
      </c>
      <c r="K363" s="1" t="s">
        <v>1940</v>
      </c>
      <c r="L363" t="s">
        <v>1119</v>
      </c>
      <c r="M363" s="1" t="s">
        <v>1118</v>
      </c>
      <c r="N363" s="1" t="s">
        <v>725</v>
      </c>
      <c r="Q363" s="1" t="s">
        <v>724</v>
      </c>
      <c r="S363" s="1" t="s">
        <v>1905</v>
      </c>
    </row>
    <row r="364" spans="1:19" x14ac:dyDescent="0.25">
      <c r="A364" s="1" t="s">
        <v>308</v>
      </c>
      <c r="B364" s="1" t="s">
        <v>308</v>
      </c>
      <c r="C364" s="1">
        <v>1</v>
      </c>
      <c r="D364" s="1">
        <v>2</v>
      </c>
      <c r="E364" s="1" t="s">
        <v>1944</v>
      </c>
      <c r="F364" s="1" t="s">
        <v>729</v>
      </c>
      <c r="G364" s="1" t="s">
        <v>1959</v>
      </c>
      <c r="H364" s="1" t="str">
        <f t="shared" si="5"/>
        <v>prc_hicp_midx_CP08</v>
      </c>
      <c r="I364" s="1" t="s">
        <v>728</v>
      </c>
      <c r="K364" s="1" t="s">
        <v>1940</v>
      </c>
      <c r="L364" t="s">
        <v>1117</v>
      </c>
      <c r="M364" s="1" t="s">
        <v>1116</v>
      </c>
      <c r="N364" s="1" t="s">
        <v>725</v>
      </c>
      <c r="Q364" s="1" t="s">
        <v>724</v>
      </c>
      <c r="S364" s="1" t="s">
        <v>1905</v>
      </c>
    </row>
    <row r="365" spans="1:19" x14ac:dyDescent="0.25">
      <c r="A365" s="1" t="s">
        <v>308</v>
      </c>
      <c r="B365" s="1" t="s">
        <v>308</v>
      </c>
      <c r="C365" s="1">
        <v>1</v>
      </c>
      <c r="D365" s="1">
        <v>2</v>
      </c>
      <c r="E365" s="1" t="s">
        <v>1944</v>
      </c>
      <c r="F365" s="1" t="s">
        <v>729</v>
      </c>
      <c r="G365" s="1" t="s">
        <v>1959</v>
      </c>
      <c r="H365" s="1" t="str">
        <f t="shared" si="5"/>
        <v>prc_hicp_midx_CP081</v>
      </c>
      <c r="I365" s="1" t="s">
        <v>728</v>
      </c>
      <c r="K365" s="1" t="s">
        <v>1940</v>
      </c>
      <c r="L365" t="s">
        <v>1115</v>
      </c>
      <c r="M365" s="1" t="s">
        <v>1114</v>
      </c>
      <c r="N365" s="1" t="s">
        <v>725</v>
      </c>
      <c r="Q365" s="1" t="s">
        <v>724</v>
      </c>
      <c r="S365" s="1" t="s">
        <v>1905</v>
      </c>
    </row>
    <row r="366" spans="1:19" x14ac:dyDescent="0.25">
      <c r="A366" s="1" t="s">
        <v>308</v>
      </c>
      <c r="B366" s="1" t="s">
        <v>308</v>
      </c>
      <c r="C366" s="1">
        <v>1</v>
      </c>
      <c r="D366" s="1">
        <v>2</v>
      </c>
      <c r="E366" s="1" t="s">
        <v>1944</v>
      </c>
      <c r="F366" s="1" t="s">
        <v>729</v>
      </c>
      <c r="G366" s="1" t="s">
        <v>1959</v>
      </c>
      <c r="H366" s="1" t="str">
        <f t="shared" si="5"/>
        <v>prc_hicp_midx_CP08101</v>
      </c>
      <c r="I366" s="1" t="s">
        <v>728</v>
      </c>
      <c r="K366" s="1" t="s">
        <v>1940</v>
      </c>
      <c r="L366" t="s">
        <v>1113</v>
      </c>
      <c r="M366" s="1" t="s">
        <v>1112</v>
      </c>
      <c r="N366" s="1" t="s">
        <v>725</v>
      </c>
      <c r="Q366" s="1" t="s">
        <v>724</v>
      </c>
      <c r="S366" s="1" t="s">
        <v>1905</v>
      </c>
    </row>
    <row r="367" spans="1:19" x14ac:dyDescent="0.25">
      <c r="A367" s="1" t="s">
        <v>308</v>
      </c>
      <c r="B367" s="1" t="s">
        <v>308</v>
      </c>
      <c r="C367" s="1">
        <v>1</v>
      </c>
      <c r="D367" s="1">
        <v>2</v>
      </c>
      <c r="E367" s="1" t="s">
        <v>1944</v>
      </c>
      <c r="F367" s="1" t="s">
        <v>729</v>
      </c>
      <c r="G367" s="1" t="s">
        <v>1959</v>
      </c>
      <c r="H367" s="1" t="str">
        <f t="shared" si="5"/>
        <v>prc_hicp_midx_CP08109</v>
      </c>
      <c r="I367" s="1" t="s">
        <v>728</v>
      </c>
      <c r="K367" s="1" t="s">
        <v>1940</v>
      </c>
      <c r="L367" t="s">
        <v>1111</v>
      </c>
      <c r="M367" s="1" t="s">
        <v>1110</v>
      </c>
      <c r="N367" s="1" t="s">
        <v>725</v>
      </c>
      <c r="Q367" s="1" t="s">
        <v>724</v>
      </c>
      <c r="S367" s="1" t="s">
        <v>1905</v>
      </c>
    </row>
    <row r="368" spans="1:19" x14ac:dyDescent="0.25">
      <c r="A368" s="1" t="s">
        <v>308</v>
      </c>
      <c r="B368" s="1" t="s">
        <v>308</v>
      </c>
      <c r="C368" s="1">
        <v>1</v>
      </c>
      <c r="D368" s="1">
        <v>2</v>
      </c>
      <c r="E368" s="1" t="s">
        <v>1944</v>
      </c>
      <c r="F368" s="1" t="s">
        <v>729</v>
      </c>
      <c r="G368" s="1" t="s">
        <v>1959</v>
      </c>
      <c r="H368" s="1" t="str">
        <f t="shared" si="5"/>
        <v>prc_hicp_midx_CP082_083</v>
      </c>
      <c r="I368" s="1" t="s">
        <v>728</v>
      </c>
      <c r="K368" s="1" t="s">
        <v>1940</v>
      </c>
      <c r="L368" t="s">
        <v>1109</v>
      </c>
      <c r="M368" s="1" t="s">
        <v>1108</v>
      </c>
      <c r="N368" s="1" t="s">
        <v>725</v>
      </c>
      <c r="Q368" s="1" t="s">
        <v>724</v>
      </c>
      <c r="S368" s="1" t="s">
        <v>1905</v>
      </c>
    </row>
    <row r="369" spans="1:19" x14ac:dyDescent="0.25">
      <c r="A369" s="1" t="s">
        <v>308</v>
      </c>
      <c r="B369" s="1" t="s">
        <v>308</v>
      </c>
      <c r="C369" s="1">
        <v>1</v>
      </c>
      <c r="D369" s="1">
        <v>2</v>
      </c>
      <c r="E369" s="1" t="s">
        <v>1944</v>
      </c>
      <c r="F369" s="1" t="s">
        <v>729</v>
      </c>
      <c r="G369" s="1" t="s">
        <v>1959</v>
      </c>
      <c r="H369" s="1" t="str">
        <f t="shared" si="5"/>
        <v>prc_hicp_midx_CP0820</v>
      </c>
      <c r="I369" s="1" t="s">
        <v>728</v>
      </c>
      <c r="K369" s="1" t="s">
        <v>1940</v>
      </c>
      <c r="L369" t="s">
        <v>1107</v>
      </c>
      <c r="M369" s="1" t="s">
        <v>1106</v>
      </c>
      <c r="N369" s="1" t="s">
        <v>725</v>
      </c>
      <c r="Q369" s="1" t="s">
        <v>724</v>
      </c>
      <c r="S369" s="1" t="s">
        <v>1905</v>
      </c>
    </row>
    <row r="370" spans="1:19" x14ac:dyDescent="0.25">
      <c r="A370" s="1" t="s">
        <v>308</v>
      </c>
      <c r="B370" s="1" t="s">
        <v>308</v>
      </c>
      <c r="C370" s="1">
        <v>1</v>
      </c>
      <c r="D370" s="1">
        <v>2</v>
      </c>
      <c r="E370" s="1" t="s">
        <v>1944</v>
      </c>
      <c r="F370" s="1" t="s">
        <v>729</v>
      </c>
      <c r="G370" s="1" t="s">
        <v>1959</v>
      </c>
      <c r="H370" s="1" t="str">
        <f t="shared" si="5"/>
        <v>prc_hicp_midx_CP08201</v>
      </c>
      <c r="I370" s="1" t="s">
        <v>728</v>
      </c>
      <c r="K370" s="1" t="s">
        <v>1940</v>
      </c>
      <c r="L370" t="s">
        <v>1105</v>
      </c>
      <c r="M370" s="1" t="s">
        <v>1104</v>
      </c>
      <c r="N370" s="1" t="s">
        <v>725</v>
      </c>
      <c r="Q370" s="1" t="s">
        <v>724</v>
      </c>
      <c r="S370" s="1" t="s">
        <v>1905</v>
      </c>
    </row>
    <row r="371" spans="1:19" x14ac:dyDescent="0.25">
      <c r="A371" s="1" t="s">
        <v>308</v>
      </c>
      <c r="B371" s="1" t="s">
        <v>308</v>
      </c>
      <c r="C371" s="1">
        <v>1</v>
      </c>
      <c r="D371" s="1">
        <v>2</v>
      </c>
      <c r="E371" s="1" t="s">
        <v>1944</v>
      </c>
      <c r="F371" s="1" t="s">
        <v>729</v>
      </c>
      <c r="G371" s="1" t="s">
        <v>1959</v>
      </c>
      <c r="H371" s="1" t="str">
        <f t="shared" si="5"/>
        <v>prc_hicp_midx_CP08202</v>
      </c>
      <c r="I371" s="1" t="s">
        <v>728</v>
      </c>
      <c r="K371" s="1" t="s">
        <v>1940</v>
      </c>
      <c r="L371" t="s">
        <v>1103</v>
      </c>
      <c r="M371" s="1" t="s">
        <v>1102</v>
      </c>
      <c r="N371" s="1" t="s">
        <v>725</v>
      </c>
      <c r="Q371" s="1" t="s">
        <v>724</v>
      </c>
      <c r="S371" s="1" t="s">
        <v>1905</v>
      </c>
    </row>
    <row r="372" spans="1:19" x14ac:dyDescent="0.25">
      <c r="A372" s="1" t="s">
        <v>308</v>
      </c>
      <c r="B372" s="1" t="s">
        <v>308</v>
      </c>
      <c r="C372" s="1">
        <v>1</v>
      </c>
      <c r="D372" s="1">
        <v>2</v>
      </c>
      <c r="E372" s="1" t="s">
        <v>1944</v>
      </c>
      <c r="F372" s="1" t="s">
        <v>729</v>
      </c>
      <c r="G372" s="1" t="s">
        <v>1959</v>
      </c>
      <c r="H372" s="1" t="str">
        <f t="shared" si="5"/>
        <v>prc_hicp_midx_CP08203</v>
      </c>
      <c r="I372" s="1" t="s">
        <v>728</v>
      </c>
      <c r="K372" s="1" t="s">
        <v>1940</v>
      </c>
      <c r="L372" t="s">
        <v>1101</v>
      </c>
      <c r="M372" s="1" t="s">
        <v>1100</v>
      </c>
      <c r="N372" s="1" t="s">
        <v>725</v>
      </c>
      <c r="Q372" s="1" t="s">
        <v>724</v>
      </c>
      <c r="S372" s="1" t="s">
        <v>1905</v>
      </c>
    </row>
    <row r="373" spans="1:19" x14ac:dyDescent="0.25">
      <c r="A373" s="1" t="s">
        <v>308</v>
      </c>
      <c r="B373" s="1" t="s">
        <v>308</v>
      </c>
      <c r="C373" s="1">
        <v>1</v>
      </c>
      <c r="D373" s="1">
        <v>2</v>
      </c>
      <c r="E373" s="1" t="s">
        <v>1944</v>
      </c>
      <c r="F373" s="1" t="s">
        <v>729</v>
      </c>
      <c r="G373" s="1" t="s">
        <v>1959</v>
      </c>
      <c r="H373" s="1" t="str">
        <f t="shared" si="5"/>
        <v>prc_hicp_midx_CP08204</v>
      </c>
      <c r="I373" s="1" t="s">
        <v>728</v>
      </c>
      <c r="K373" s="1" t="s">
        <v>1940</v>
      </c>
      <c r="L373" t="s">
        <v>1099</v>
      </c>
      <c r="M373" s="1" t="s">
        <v>1098</v>
      </c>
      <c r="N373" s="1" t="s">
        <v>725</v>
      </c>
      <c r="Q373" s="1" t="s">
        <v>724</v>
      </c>
      <c r="S373" s="1" t="s">
        <v>1905</v>
      </c>
    </row>
    <row r="374" spans="1:19" x14ac:dyDescent="0.25">
      <c r="A374" s="1" t="s">
        <v>308</v>
      </c>
      <c r="B374" s="1" t="s">
        <v>308</v>
      </c>
      <c r="C374" s="1">
        <v>1</v>
      </c>
      <c r="D374" s="1">
        <v>2</v>
      </c>
      <c r="E374" s="1" t="s">
        <v>1944</v>
      </c>
      <c r="F374" s="1" t="s">
        <v>729</v>
      </c>
      <c r="G374" s="1" t="s">
        <v>1959</v>
      </c>
      <c r="H374" s="1" t="str">
        <f t="shared" si="5"/>
        <v>prc_hicp_midx_CP0830</v>
      </c>
      <c r="I374" s="1" t="s">
        <v>728</v>
      </c>
      <c r="K374" s="1" t="s">
        <v>1940</v>
      </c>
      <c r="L374" t="s">
        <v>1097</v>
      </c>
      <c r="M374" s="1" t="s">
        <v>1096</v>
      </c>
      <c r="N374" s="1" t="s">
        <v>725</v>
      </c>
      <c r="Q374" s="1" t="s">
        <v>724</v>
      </c>
      <c r="S374" s="1" t="s">
        <v>1905</v>
      </c>
    </row>
    <row r="375" spans="1:19" x14ac:dyDescent="0.25">
      <c r="A375" s="1" t="s">
        <v>308</v>
      </c>
      <c r="B375" s="1" t="s">
        <v>308</v>
      </c>
      <c r="C375" s="1">
        <v>1</v>
      </c>
      <c r="D375" s="1">
        <v>2</v>
      </c>
      <c r="E375" s="1" t="s">
        <v>1944</v>
      </c>
      <c r="F375" s="1" t="s">
        <v>729</v>
      </c>
      <c r="G375" s="1" t="s">
        <v>1959</v>
      </c>
      <c r="H375" s="1" t="str">
        <f t="shared" si="5"/>
        <v>prc_hicp_midx_CP08301</v>
      </c>
      <c r="I375" s="1" t="s">
        <v>728</v>
      </c>
      <c r="K375" s="1" t="s">
        <v>1940</v>
      </c>
      <c r="L375" t="s">
        <v>1095</v>
      </c>
      <c r="M375" s="1" t="s">
        <v>1094</v>
      </c>
      <c r="N375" s="1" t="s">
        <v>725</v>
      </c>
      <c r="Q375" s="1" t="s">
        <v>724</v>
      </c>
      <c r="S375" s="1" t="s">
        <v>1905</v>
      </c>
    </row>
    <row r="376" spans="1:19" x14ac:dyDescent="0.25">
      <c r="A376" s="1" t="s">
        <v>308</v>
      </c>
      <c r="B376" s="1" t="s">
        <v>308</v>
      </c>
      <c r="C376" s="1">
        <v>1</v>
      </c>
      <c r="D376" s="1">
        <v>2</v>
      </c>
      <c r="E376" s="1" t="s">
        <v>1944</v>
      </c>
      <c r="F376" s="1" t="s">
        <v>729</v>
      </c>
      <c r="G376" s="1" t="s">
        <v>1959</v>
      </c>
      <c r="H376" s="1" t="str">
        <f t="shared" si="5"/>
        <v>prc_hicp_midx_CP08302</v>
      </c>
      <c r="I376" s="1" t="s">
        <v>728</v>
      </c>
      <c r="K376" s="1" t="s">
        <v>1940</v>
      </c>
      <c r="L376" t="s">
        <v>1093</v>
      </c>
      <c r="M376" s="1" t="s">
        <v>1092</v>
      </c>
      <c r="N376" s="1" t="s">
        <v>725</v>
      </c>
      <c r="Q376" s="1" t="s">
        <v>724</v>
      </c>
      <c r="S376" s="1" t="s">
        <v>1905</v>
      </c>
    </row>
    <row r="377" spans="1:19" x14ac:dyDescent="0.25">
      <c r="A377" s="1" t="s">
        <v>308</v>
      </c>
      <c r="B377" s="1" t="s">
        <v>308</v>
      </c>
      <c r="C377" s="1">
        <v>1</v>
      </c>
      <c r="D377" s="1">
        <v>2</v>
      </c>
      <c r="E377" s="1" t="s">
        <v>1944</v>
      </c>
      <c r="F377" s="1" t="s">
        <v>729</v>
      </c>
      <c r="G377" s="1" t="s">
        <v>1959</v>
      </c>
      <c r="H377" s="1" t="str">
        <f t="shared" si="5"/>
        <v>prc_hicp_midx_CP08303</v>
      </c>
      <c r="I377" s="1" t="s">
        <v>728</v>
      </c>
      <c r="K377" s="1" t="s">
        <v>1940</v>
      </c>
      <c r="L377" t="s">
        <v>1091</v>
      </c>
      <c r="M377" s="1" t="s">
        <v>1090</v>
      </c>
      <c r="N377" s="1" t="s">
        <v>725</v>
      </c>
      <c r="Q377" s="1" t="s">
        <v>724</v>
      </c>
      <c r="S377" s="1" t="s">
        <v>1905</v>
      </c>
    </row>
    <row r="378" spans="1:19" x14ac:dyDescent="0.25">
      <c r="A378" s="1" t="s">
        <v>308</v>
      </c>
      <c r="B378" s="1" t="s">
        <v>308</v>
      </c>
      <c r="C378" s="1">
        <v>1</v>
      </c>
      <c r="D378" s="1">
        <v>2</v>
      </c>
      <c r="E378" s="1" t="s">
        <v>1944</v>
      </c>
      <c r="F378" s="1" t="s">
        <v>729</v>
      </c>
      <c r="G378" s="1" t="s">
        <v>1959</v>
      </c>
      <c r="H378" s="1" t="str">
        <f t="shared" si="5"/>
        <v>prc_hicp_midx_CP08304</v>
      </c>
      <c r="I378" s="1" t="s">
        <v>728</v>
      </c>
      <c r="K378" s="1" t="s">
        <v>1940</v>
      </c>
      <c r="L378" t="s">
        <v>1089</v>
      </c>
      <c r="M378" s="1" t="s">
        <v>1088</v>
      </c>
      <c r="N378" s="1" t="s">
        <v>725</v>
      </c>
      <c r="Q378" s="1" t="s">
        <v>724</v>
      </c>
      <c r="S378" s="1" t="s">
        <v>1905</v>
      </c>
    </row>
    <row r="379" spans="1:19" x14ac:dyDescent="0.25">
      <c r="A379" s="1" t="s">
        <v>308</v>
      </c>
      <c r="B379" s="1" t="s">
        <v>308</v>
      </c>
      <c r="C379" s="1">
        <v>1</v>
      </c>
      <c r="D379" s="1">
        <v>2</v>
      </c>
      <c r="E379" s="1" t="s">
        <v>1944</v>
      </c>
      <c r="F379" s="1" t="s">
        <v>729</v>
      </c>
      <c r="G379" s="1" t="s">
        <v>1959</v>
      </c>
      <c r="H379" s="1" t="str">
        <f t="shared" si="5"/>
        <v>prc_hicp_midx_CP08305</v>
      </c>
      <c r="I379" s="1" t="s">
        <v>728</v>
      </c>
      <c r="K379" s="1" t="s">
        <v>1940</v>
      </c>
      <c r="L379" t="s">
        <v>1087</v>
      </c>
      <c r="M379" s="1" t="s">
        <v>1086</v>
      </c>
      <c r="N379" s="1" t="s">
        <v>725</v>
      </c>
      <c r="Q379" s="1" t="s">
        <v>724</v>
      </c>
      <c r="S379" s="1" t="s">
        <v>1905</v>
      </c>
    </row>
    <row r="380" spans="1:19" x14ac:dyDescent="0.25">
      <c r="A380" s="1" t="s">
        <v>308</v>
      </c>
      <c r="B380" s="1" t="s">
        <v>308</v>
      </c>
      <c r="C380" s="1">
        <v>1</v>
      </c>
      <c r="D380" s="1">
        <v>2</v>
      </c>
      <c r="E380" s="1" t="s">
        <v>1944</v>
      </c>
      <c r="F380" s="1" t="s">
        <v>729</v>
      </c>
      <c r="G380" s="1" t="s">
        <v>1959</v>
      </c>
      <c r="H380" s="1" t="str">
        <f t="shared" si="5"/>
        <v>prc_hicp_midx_CP09</v>
      </c>
      <c r="I380" s="1" t="s">
        <v>728</v>
      </c>
      <c r="K380" s="1" t="s">
        <v>1940</v>
      </c>
      <c r="L380" t="s">
        <v>1085</v>
      </c>
      <c r="M380" s="1" t="s">
        <v>1084</v>
      </c>
      <c r="N380" s="1" t="s">
        <v>725</v>
      </c>
      <c r="Q380" s="1" t="s">
        <v>724</v>
      </c>
      <c r="S380" s="1" t="s">
        <v>1905</v>
      </c>
    </row>
    <row r="381" spans="1:19" x14ac:dyDescent="0.25">
      <c r="A381" s="1" t="s">
        <v>308</v>
      </c>
      <c r="B381" s="1" t="s">
        <v>308</v>
      </c>
      <c r="C381" s="1">
        <v>1</v>
      </c>
      <c r="D381" s="1">
        <v>2</v>
      </c>
      <c r="E381" s="1" t="s">
        <v>1944</v>
      </c>
      <c r="F381" s="1" t="s">
        <v>729</v>
      </c>
      <c r="G381" s="1" t="s">
        <v>1959</v>
      </c>
      <c r="H381" s="1" t="str">
        <f t="shared" si="5"/>
        <v>prc_hicp_midx_CP091</v>
      </c>
      <c r="I381" s="1" t="s">
        <v>728</v>
      </c>
      <c r="K381" s="1" t="s">
        <v>1940</v>
      </c>
      <c r="L381" t="s">
        <v>1083</v>
      </c>
      <c r="M381" s="1" t="s">
        <v>1082</v>
      </c>
      <c r="N381" s="1" t="s">
        <v>725</v>
      </c>
      <c r="Q381" s="1" t="s">
        <v>724</v>
      </c>
      <c r="S381" s="1" t="s">
        <v>1905</v>
      </c>
    </row>
    <row r="382" spans="1:19" x14ac:dyDescent="0.25">
      <c r="A382" s="1" t="s">
        <v>308</v>
      </c>
      <c r="B382" s="1" t="s">
        <v>308</v>
      </c>
      <c r="C382" s="1">
        <v>1</v>
      </c>
      <c r="D382" s="1">
        <v>2</v>
      </c>
      <c r="E382" s="1" t="s">
        <v>1944</v>
      </c>
      <c r="F382" s="1" t="s">
        <v>729</v>
      </c>
      <c r="G382" s="1" t="s">
        <v>1959</v>
      </c>
      <c r="H382" s="1" t="str">
        <f t="shared" si="5"/>
        <v>prc_hicp_midx_CP0911</v>
      </c>
      <c r="I382" s="1" t="s">
        <v>728</v>
      </c>
      <c r="K382" s="1" t="s">
        <v>1940</v>
      </c>
      <c r="L382" t="s">
        <v>1081</v>
      </c>
      <c r="M382" s="1" t="s">
        <v>1080</v>
      </c>
      <c r="N382" s="1" t="s">
        <v>725</v>
      </c>
      <c r="Q382" s="1" t="s">
        <v>724</v>
      </c>
      <c r="S382" s="1" t="s">
        <v>1905</v>
      </c>
    </row>
    <row r="383" spans="1:19" x14ac:dyDescent="0.25">
      <c r="A383" s="1" t="s">
        <v>308</v>
      </c>
      <c r="B383" s="1" t="s">
        <v>308</v>
      </c>
      <c r="C383" s="1">
        <v>1</v>
      </c>
      <c r="D383" s="1">
        <v>2</v>
      </c>
      <c r="E383" s="1" t="s">
        <v>1944</v>
      </c>
      <c r="F383" s="1" t="s">
        <v>729</v>
      </c>
      <c r="G383" s="1" t="s">
        <v>1959</v>
      </c>
      <c r="H383" s="1" t="str">
        <f t="shared" si="5"/>
        <v>prc_hicp_midx_CP09111</v>
      </c>
      <c r="I383" s="1" t="s">
        <v>728</v>
      </c>
      <c r="K383" s="1" t="s">
        <v>1940</v>
      </c>
      <c r="L383" t="s">
        <v>1079</v>
      </c>
      <c r="M383" s="1" t="s">
        <v>1078</v>
      </c>
      <c r="N383" s="1" t="s">
        <v>725</v>
      </c>
      <c r="Q383" s="1" t="s">
        <v>724</v>
      </c>
      <c r="S383" s="1" t="s">
        <v>1905</v>
      </c>
    </row>
    <row r="384" spans="1:19" x14ac:dyDescent="0.25">
      <c r="A384" s="1" t="s">
        <v>308</v>
      </c>
      <c r="B384" s="1" t="s">
        <v>308</v>
      </c>
      <c r="C384" s="1">
        <v>1</v>
      </c>
      <c r="D384" s="1">
        <v>2</v>
      </c>
      <c r="E384" s="1" t="s">
        <v>1944</v>
      </c>
      <c r="F384" s="1" t="s">
        <v>729</v>
      </c>
      <c r="G384" s="1" t="s">
        <v>1959</v>
      </c>
      <c r="H384" s="1" t="str">
        <f t="shared" si="5"/>
        <v>prc_hicp_midx_CP09112</v>
      </c>
      <c r="I384" s="1" t="s">
        <v>728</v>
      </c>
      <c r="K384" s="1" t="s">
        <v>1940</v>
      </c>
      <c r="L384" t="s">
        <v>1077</v>
      </c>
      <c r="M384" s="1" t="s">
        <v>1076</v>
      </c>
      <c r="N384" s="1" t="s">
        <v>725</v>
      </c>
      <c r="Q384" s="1" t="s">
        <v>724</v>
      </c>
      <c r="S384" s="1" t="s">
        <v>1905</v>
      </c>
    </row>
    <row r="385" spans="1:19" x14ac:dyDescent="0.25">
      <c r="A385" s="1" t="s">
        <v>308</v>
      </c>
      <c r="B385" s="1" t="s">
        <v>308</v>
      </c>
      <c r="C385" s="1">
        <v>1</v>
      </c>
      <c r="D385" s="1">
        <v>2</v>
      </c>
      <c r="E385" s="1" t="s">
        <v>1944</v>
      </c>
      <c r="F385" s="1" t="s">
        <v>729</v>
      </c>
      <c r="G385" s="1" t="s">
        <v>1959</v>
      </c>
      <c r="H385" s="1" t="str">
        <f t="shared" si="5"/>
        <v>prc_hicp_midx_CP09113</v>
      </c>
      <c r="I385" s="1" t="s">
        <v>728</v>
      </c>
      <c r="K385" s="1" t="s">
        <v>1940</v>
      </c>
      <c r="L385" t="s">
        <v>1075</v>
      </c>
      <c r="M385" s="1" t="s">
        <v>1074</v>
      </c>
      <c r="N385" s="1" t="s">
        <v>725</v>
      </c>
      <c r="Q385" s="1" t="s">
        <v>724</v>
      </c>
      <c r="S385" s="1" t="s">
        <v>1905</v>
      </c>
    </row>
    <row r="386" spans="1:19" x14ac:dyDescent="0.25">
      <c r="A386" s="1" t="s">
        <v>308</v>
      </c>
      <c r="B386" s="1" t="s">
        <v>308</v>
      </c>
      <c r="C386" s="1">
        <v>1</v>
      </c>
      <c r="D386" s="1">
        <v>2</v>
      </c>
      <c r="E386" s="1" t="s">
        <v>1944</v>
      </c>
      <c r="F386" s="1" t="s">
        <v>729</v>
      </c>
      <c r="G386" s="1" t="s">
        <v>1959</v>
      </c>
      <c r="H386" s="1" t="str">
        <f t="shared" si="5"/>
        <v>prc_hicp_midx_CP09119</v>
      </c>
      <c r="I386" s="1" t="s">
        <v>728</v>
      </c>
      <c r="K386" s="1" t="s">
        <v>1940</v>
      </c>
      <c r="L386" t="s">
        <v>1073</v>
      </c>
      <c r="M386" s="1" t="s">
        <v>1072</v>
      </c>
      <c r="N386" s="1" t="s">
        <v>725</v>
      </c>
      <c r="Q386" s="1" t="s">
        <v>724</v>
      </c>
      <c r="S386" s="1" t="s">
        <v>1905</v>
      </c>
    </row>
    <row r="387" spans="1:19" x14ac:dyDescent="0.25">
      <c r="A387" s="1" t="s">
        <v>308</v>
      </c>
      <c r="B387" s="1" t="s">
        <v>308</v>
      </c>
      <c r="C387" s="1">
        <v>1</v>
      </c>
      <c r="D387" s="1">
        <v>2</v>
      </c>
      <c r="E387" s="1" t="s">
        <v>1944</v>
      </c>
      <c r="F387" s="1" t="s">
        <v>729</v>
      </c>
      <c r="G387" s="1" t="s">
        <v>1959</v>
      </c>
      <c r="H387" s="1" t="str">
        <f t="shared" ref="H387:H450" si="6">+I387&amp;"_"&amp;L387</f>
        <v>prc_hicp_midx_CP0912</v>
      </c>
      <c r="I387" s="1" t="s">
        <v>728</v>
      </c>
      <c r="K387" s="1" t="s">
        <v>1940</v>
      </c>
      <c r="L387" t="s">
        <v>1071</v>
      </c>
      <c r="M387" s="1" t="s">
        <v>1070</v>
      </c>
      <c r="N387" s="1" t="s">
        <v>725</v>
      </c>
      <c r="Q387" s="1" t="s">
        <v>724</v>
      </c>
      <c r="S387" s="1" t="s">
        <v>1905</v>
      </c>
    </row>
    <row r="388" spans="1:19" x14ac:dyDescent="0.25">
      <c r="A388" s="1" t="s">
        <v>308</v>
      </c>
      <c r="B388" s="1" t="s">
        <v>308</v>
      </c>
      <c r="C388" s="1">
        <v>1</v>
      </c>
      <c r="D388" s="1">
        <v>2</v>
      </c>
      <c r="E388" s="1" t="s">
        <v>1944</v>
      </c>
      <c r="F388" s="1" t="s">
        <v>729</v>
      </c>
      <c r="G388" s="1" t="s">
        <v>1959</v>
      </c>
      <c r="H388" s="1" t="str">
        <f t="shared" si="6"/>
        <v>prc_hicp_midx_CP09121</v>
      </c>
      <c r="I388" s="1" t="s">
        <v>728</v>
      </c>
      <c r="K388" s="1" t="s">
        <v>1940</v>
      </c>
      <c r="L388" t="s">
        <v>1069</v>
      </c>
      <c r="M388" s="1" t="s">
        <v>1068</v>
      </c>
      <c r="N388" s="1" t="s">
        <v>725</v>
      </c>
      <c r="Q388" s="1" t="s">
        <v>724</v>
      </c>
      <c r="S388" s="1" t="s">
        <v>1905</v>
      </c>
    </row>
    <row r="389" spans="1:19" x14ac:dyDescent="0.25">
      <c r="A389" s="1" t="s">
        <v>308</v>
      </c>
      <c r="B389" s="1" t="s">
        <v>308</v>
      </c>
      <c r="C389" s="1">
        <v>1</v>
      </c>
      <c r="D389" s="1">
        <v>2</v>
      </c>
      <c r="E389" s="1" t="s">
        <v>1944</v>
      </c>
      <c r="F389" s="1" t="s">
        <v>729</v>
      </c>
      <c r="G389" s="1" t="s">
        <v>1959</v>
      </c>
      <c r="H389" s="1" t="str">
        <f t="shared" si="6"/>
        <v>prc_hicp_midx_CP09122</v>
      </c>
      <c r="I389" s="1" t="s">
        <v>728</v>
      </c>
      <c r="K389" s="1" t="s">
        <v>1940</v>
      </c>
      <c r="L389" t="s">
        <v>1067</v>
      </c>
      <c r="M389" s="1" t="s">
        <v>1066</v>
      </c>
      <c r="N389" s="1" t="s">
        <v>725</v>
      </c>
      <c r="Q389" s="1" t="s">
        <v>724</v>
      </c>
      <c r="S389" s="1" t="s">
        <v>1905</v>
      </c>
    </row>
    <row r="390" spans="1:19" x14ac:dyDescent="0.25">
      <c r="A390" s="1" t="s">
        <v>308</v>
      </c>
      <c r="B390" s="1" t="s">
        <v>308</v>
      </c>
      <c r="C390" s="1">
        <v>1</v>
      </c>
      <c r="D390" s="1">
        <v>2</v>
      </c>
      <c r="E390" s="1" t="s">
        <v>1944</v>
      </c>
      <c r="F390" s="1" t="s">
        <v>729</v>
      </c>
      <c r="G390" s="1" t="s">
        <v>1959</v>
      </c>
      <c r="H390" s="1" t="str">
        <f t="shared" si="6"/>
        <v>prc_hicp_midx_CP09123</v>
      </c>
      <c r="I390" s="1" t="s">
        <v>728</v>
      </c>
      <c r="K390" s="1" t="s">
        <v>1940</v>
      </c>
      <c r="L390" t="s">
        <v>1065</v>
      </c>
      <c r="M390" s="1" t="s">
        <v>1064</v>
      </c>
      <c r="N390" s="1" t="s">
        <v>725</v>
      </c>
      <c r="Q390" s="1" t="s">
        <v>724</v>
      </c>
      <c r="S390" s="1" t="s">
        <v>1905</v>
      </c>
    </row>
    <row r="391" spans="1:19" x14ac:dyDescent="0.25">
      <c r="A391" s="1" t="s">
        <v>308</v>
      </c>
      <c r="B391" s="1" t="s">
        <v>308</v>
      </c>
      <c r="C391" s="1">
        <v>1</v>
      </c>
      <c r="D391" s="1">
        <v>2</v>
      </c>
      <c r="E391" s="1" t="s">
        <v>1944</v>
      </c>
      <c r="F391" s="1" t="s">
        <v>729</v>
      </c>
      <c r="G391" s="1" t="s">
        <v>1959</v>
      </c>
      <c r="H391" s="1" t="str">
        <f t="shared" si="6"/>
        <v>prc_hicp_midx_CP0913</v>
      </c>
      <c r="I391" s="1" t="s">
        <v>728</v>
      </c>
      <c r="K391" s="1" t="s">
        <v>1940</v>
      </c>
      <c r="L391" t="s">
        <v>1063</v>
      </c>
      <c r="M391" s="1" t="s">
        <v>1062</v>
      </c>
      <c r="N391" s="1" t="s">
        <v>725</v>
      </c>
      <c r="Q391" s="1" t="s">
        <v>724</v>
      </c>
      <c r="S391" s="1" t="s">
        <v>1905</v>
      </c>
    </row>
    <row r="392" spans="1:19" x14ac:dyDescent="0.25">
      <c r="A392" s="1" t="s">
        <v>308</v>
      </c>
      <c r="B392" s="1" t="s">
        <v>308</v>
      </c>
      <c r="C392" s="1">
        <v>1</v>
      </c>
      <c r="D392" s="1">
        <v>2</v>
      </c>
      <c r="E392" s="1" t="s">
        <v>1944</v>
      </c>
      <c r="F392" s="1" t="s">
        <v>729</v>
      </c>
      <c r="G392" s="1" t="s">
        <v>1959</v>
      </c>
      <c r="H392" s="1" t="str">
        <f t="shared" si="6"/>
        <v>prc_hicp_midx_CP09131</v>
      </c>
      <c r="I392" s="1" t="s">
        <v>728</v>
      </c>
      <c r="K392" s="1" t="s">
        <v>1940</v>
      </c>
      <c r="L392" t="s">
        <v>1061</v>
      </c>
      <c r="M392" s="1" t="s">
        <v>1060</v>
      </c>
      <c r="N392" s="1" t="s">
        <v>725</v>
      </c>
      <c r="Q392" s="1" t="s">
        <v>724</v>
      </c>
      <c r="S392" s="1" t="s">
        <v>1905</v>
      </c>
    </row>
    <row r="393" spans="1:19" x14ac:dyDescent="0.25">
      <c r="A393" s="1" t="s">
        <v>308</v>
      </c>
      <c r="B393" s="1" t="s">
        <v>308</v>
      </c>
      <c r="C393" s="1">
        <v>1</v>
      </c>
      <c r="D393" s="1">
        <v>2</v>
      </c>
      <c r="E393" s="1" t="s">
        <v>1944</v>
      </c>
      <c r="F393" s="1" t="s">
        <v>729</v>
      </c>
      <c r="G393" s="1" t="s">
        <v>1959</v>
      </c>
      <c r="H393" s="1" t="str">
        <f t="shared" si="6"/>
        <v>prc_hicp_midx_CP09132</v>
      </c>
      <c r="I393" s="1" t="s">
        <v>728</v>
      </c>
      <c r="K393" s="1" t="s">
        <v>1940</v>
      </c>
      <c r="L393" t="s">
        <v>1059</v>
      </c>
      <c r="M393" s="1" t="s">
        <v>1058</v>
      </c>
      <c r="N393" s="1" t="s">
        <v>725</v>
      </c>
      <c r="Q393" s="1" t="s">
        <v>724</v>
      </c>
      <c r="S393" s="1" t="s">
        <v>1905</v>
      </c>
    </row>
    <row r="394" spans="1:19" x14ac:dyDescent="0.25">
      <c r="A394" s="1" t="s">
        <v>308</v>
      </c>
      <c r="B394" s="1" t="s">
        <v>308</v>
      </c>
      <c r="C394" s="1">
        <v>1</v>
      </c>
      <c r="D394" s="1">
        <v>2</v>
      </c>
      <c r="E394" s="1" t="s">
        <v>1944</v>
      </c>
      <c r="F394" s="1" t="s">
        <v>729</v>
      </c>
      <c r="G394" s="1" t="s">
        <v>1959</v>
      </c>
      <c r="H394" s="1" t="str">
        <f t="shared" si="6"/>
        <v>prc_hicp_midx_CP09133</v>
      </c>
      <c r="I394" s="1" t="s">
        <v>728</v>
      </c>
      <c r="K394" s="1" t="s">
        <v>1940</v>
      </c>
      <c r="L394" t="s">
        <v>1057</v>
      </c>
      <c r="M394" s="1" t="s">
        <v>1056</v>
      </c>
      <c r="N394" s="1" t="s">
        <v>725</v>
      </c>
      <c r="Q394" s="1" t="s">
        <v>724</v>
      </c>
      <c r="S394" s="1" t="s">
        <v>1905</v>
      </c>
    </row>
    <row r="395" spans="1:19" x14ac:dyDescent="0.25">
      <c r="A395" s="1" t="s">
        <v>308</v>
      </c>
      <c r="B395" s="1" t="s">
        <v>308</v>
      </c>
      <c r="C395" s="1">
        <v>1</v>
      </c>
      <c r="D395" s="1">
        <v>2</v>
      </c>
      <c r="E395" s="1" t="s">
        <v>1944</v>
      </c>
      <c r="F395" s="1" t="s">
        <v>729</v>
      </c>
      <c r="G395" s="1" t="s">
        <v>1959</v>
      </c>
      <c r="H395" s="1" t="str">
        <f t="shared" si="6"/>
        <v>prc_hicp_midx_CP09134</v>
      </c>
      <c r="I395" s="1" t="s">
        <v>728</v>
      </c>
      <c r="K395" s="1" t="s">
        <v>1940</v>
      </c>
      <c r="L395" t="s">
        <v>1055</v>
      </c>
      <c r="M395" s="1" t="s">
        <v>1054</v>
      </c>
      <c r="N395" s="1" t="s">
        <v>725</v>
      </c>
      <c r="Q395" s="1" t="s">
        <v>724</v>
      </c>
      <c r="S395" s="1" t="s">
        <v>1905</v>
      </c>
    </row>
    <row r="396" spans="1:19" x14ac:dyDescent="0.25">
      <c r="A396" s="1" t="s">
        <v>308</v>
      </c>
      <c r="B396" s="1" t="s">
        <v>308</v>
      </c>
      <c r="C396" s="1">
        <v>1</v>
      </c>
      <c r="D396" s="1">
        <v>2</v>
      </c>
      <c r="E396" s="1" t="s">
        <v>1944</v>
      </c>
      <c r="F396" s="1" t="s">
        <v>729</v>
      </c>
      <c r="G396" s="1" t="s">
        <v>1959</v>
      </c>
      <c r="H396" s="1" t="str">
        <f t="shared" si="6"/>
        <v>prc_hicp_midx_CP0914</v>
      </c>
      <c r="I396" s="1" t="s">
        <v>728</v>
      </c>
      <c r="K396" s="1" t="s">
        <v>1940</v>
      </c>
      <c r="L396" t="s">
        <v>1053</v>
      </c>
      <c r="M396" s="1" t="s">
        <v>1052</v>
      </c>
      <c r="N396" s="1" t="s">
        <v>725</v>
      </c>
      <c r="Q396" s="1" t="s">
        <v>724</v>
      </c>
      <c r="S396" s="1" t="s">
        <v>1905</v>
      </c>
    </row>
    <row r="397" spans="1:19" x14ac:dyDescent="0.25">
      <c r="A397" s="1" t="s">
        <v>308</v>
      </c>
      <c r="B397" s="1" t="s">
        <v>308</v>
      </c>
      <c r="C397" s="1">
        <v>1</v>
      </c>
      <c r="D397" s="1">
        <v>2</v>
      </c>
      <c r="E397" s="1" t="s">
        <v>1944</v>
      </c>
      <c r="F397" s="1" t="s">
        <v>729</v>
      </c>
      <c r="G397" s="1" t="s">
        <v>1959</v>
      </c>
      <c r="H397" s="1" t="str">
        <f t="shared" si="6"/>
        <v>prc_hicp_midx_CP09141</v>
      </c>
      <c r="I397" s="1" t="s">
        <v>728</v>
      </c>
      <c r="K397" s="1" t="s">
        <v>1940</v>
      </c>
      <c r="L397" t="s">
        <v>1051</v>
      </c>
      <c r="M397" s="1" t="s">
        <v>1050</v>
      </c>
      <c r="N397" s="1" t="s">
        <v>725</v>
      </c>
      <c r="Q397" s="1" t="s">
        <v>724</v>
      </c>
      <c r="S397" s="1" t="s">
        <v>1905</v>
      </c>
    </row>
    <row r="398" spans="1:19" x14ac:dyDescent="0.25">
      <c r="A398" s="1" t="s">
        <v>308</v>
      </c>
      <c r="B398" s="1" t="s">
        <v>308</v>
      </c>
      <c r="C398" s="1">
        <v>1</v>
      </c>
      <c r="D398" s="1">
        <v>2</v>
      </c>
      <c r="E398" s="1" t="s">
        <v>1944</v>
      </c>
      <c r="F398" s="1" t="s">
        <v>729</v>
      </c>
      <c r="G398" s="1" t="s">
        <v>1959</v>
      </c>
      <c r="H398" s="1" t="str">
        <f t="shared" si="6"/>
        <v>prc_hicp_midx_CP09142</v>
      </c>
      <c r="I398" s="1" t="s">
        <v>728</v>
      </c>
      <c r="K398" s="1" t="s">
        <v>1940</v>
      </c>
      <c r="L398" t="s">
        <v>1049</v>
      </c>
      <c r="M398" s="1" t="s">
        <v>1048</v>
      </c>
      <c r="N398" s="1" t="s">
        <v>725</v>
      </c>
      <c r="Q398" s="1" t="s">
        <v>724</v>
      </c>
      <c r="S398" s="1" t="s">
        <v>1905</v>
      </c>
    </row>
    <row r="399" spans="1:19" x14ac:dyDescent="0.25">
      <c r="A399" s="1" t="s">
        <v>308</v>
      </c>
      <c r="B399" s="1" t="s">
        <v>308</v>
      </c>
      <c r="C399" s="1">
        <v>1</v>
      </c>
      <c r="D399" s="1">
        <v>2</v>
      </c>
      <c r="E399" s="1" t="s">
        <v>1944</v>
      </c>
      <c r="F399" s="1" t="s">
        <v>729</v>
      </c>
      <c r="G399" s="1" t="s">
        <v>1959</v>
      </c>
      <c r="H399" s="1" t="str">
        <f t="shared" si="6"/>
        <v>prc_hicp_midx_CP09149</v>
      </c>
      <c r="I399" s="1" t="s">
        <v>728</v>
      </c>
      <c r="K399" s="1" t="s">
        <v>1940</v>
      </c>
      <c r="L399" t="s">
        <v>1047</v>
      </c>
      <c r="M399" s="1" t="s">
        <v>1046</v>
      </c>
      <c r="N399" s="1" t="s">
        <v>725</v>
      </c>
      <c r="Q399" s="1" t="s">
        <v>724</v>
      </c>
      <c r="S399" s="1" t="s">
        <v>1905</v>
      </c>
    </row>
    <row r="400" spans="1:19" x14ac:dyDescent="0.25">
      <c r="A400" s="1" t="s">
        <v>308</v>
      </c>
      <c r="B400" s="1" t="s">
        <v>308</v>
      </c>
      <c r="C400" s="1">
        <v>1</v>
      </c>
      <c r="D400" s="1">
        <v>2</v>
      </c>
      <c r="E400" s="1" t="s">
        <v>1944</v>
      </c>
      <c r="F400" s="1" t="s">
        <v>729</v>
      </c>
      <c r="G400" s="1" t="s">
        <v>1959</v>
      </c>
      <c r="H400" s="1" t="str">
        <f t="shared" si="6"/>
        <v>prc_hicp_midx_CP0915</v>
      </c>
      <c r="I400" s="1" t="s">
        <v>728</v>
      </c>
      <c r="K400" s="1" t="s">
        <v>1940</v>
      </c>
      <c r="L400" t="s">
        <v>1045</v>
      </c>
      <c r="M400" s="1" t="s">
        <v>1044</v>
      </c>
      <c r="N400" s="1" t="s">
        <v>725</v>
      </c>
      <c r="Q400" s="1" t="s">
        <v>724</v>
      </c>
      <c r="S400" s="1" t="s">
        <v>1905</v>
      </c>
    </row>
    <row r="401" spans="1:19" x14ac:dyDescent="0.25">
      <c r="A401" s="1" t="s">
        <v>308</v>
      </c>
      <c r="B401" s="1" t="s">
        <v>308</v>
      </c>
      <c r="C401" s="1">
        <v>1</v>
      </c>
      <c r="D401" s="1">
        <v>2</v>
      </c>
      <c r="E401" s="1" t="s">
        <v>1944</v>
      </c>
      <c r="F401" s="1" t="s">
        <v>729</v>
      </c>
      <c r="G401" s="1" t="s">
        <v>1959</v>
      </c>
      <c r="H401" s="1" t="str">
        <f t="shared" si="6"/>
        <v>prc_hicp_midx_CP092</v>
      </c>
      <c r="I401" s="1" t="s">
        <v>728</v>
      </c>
      <c r="K401" s="1" t="s">
        <v>1940</v>
      </c>
      <c r="L401" t="s">
        <v>1043</v>
      </c>
      <c r="M401" s="1" t="s">
        <v>1042</v>
      </c>
      <c r="N401" s="1" t="s">
        <v>725</v>
      </c>
      <c r="Q401" s="1" t="s">
        <v>724</v>
      </c>
      <c r="S401" s="1" t="s">
        <v>1905</v>
      </c>
    </row>
    <row r="402" spans="1:19" x14ac:dyDescent="0.25">
      <c r="A402" s="1" t="s">
        <v>308</v>
      </c>
      <c r="B402" s="1" t="s">
        <v>308</v>
      </c>
      <c r="C402" s="1">
        <v>1</v>
      </c>
      <c r="D402" s="1">
        <v>2</v>
      </c>
      <c r="E402" s="1" t="s">
        <v>1944</v>
      </c>
      <c r="F402" s="1" t="s">
        <v>729</v>
      </c>
      <c r="G402" s="1" t="s">
        <v>1959</v>
      </c>
      <c r="H402" s="1" t="str">
        <f t="shared" si="6"/>
        <v>prc_hicp_midx_CP0921</v>
      </c>
      <c r="I402" s="1" t="s">
        <v>728</v>
      </c>
      <c r="K402" s="1" t="s">
        <v>1940</v>
      </c>
      <c r="L402" t="s">
        <v>1041</v>
      </c>
      <c r="M402" s="1" t="s">
        <v>1040</v>
      </c>
      <c r="N402" s="1" t="s">
        <v>725</v>
      </c>
      <c r="Q402" s="1" t="s">
        <v>724</v>
      </c>
      <c r="S402" s="1" t="s">
        <v>1905</v>
      </c>
    </row>
    <row r="403" spans="1:19" x14ac:dyDescent="0.25">
      <c r="A403" s="1" t="s">
        <v>308</v>
      </c>
      <c r="B403" s="1" t="s">
        <v>308</v>
      </c>
      <c r="C403" s="1">
        <v>1</v>
      </c>
      <c r="D403" s="1">
        <v>2</v>
      </c>
      <c r="E403" s="1" t="s">
        <v>1944</v>
      </c>
      <c r="F403" s="1" t="s">
        <v>729</v>
      </c>
      <c r="G403" s="1" t="s">
        <v>1959</v>
      </c>
      <c r="H403" s="1" t="str">
        <f t="shared" si="6"/>
        <v>prc_hicp_midx_CP0921_0922</v>
      </c>
      <c r="I403" s="1" t="s">
        <v>728</v>
      </c>
      <c r="K403" s="1" t="s">
        <v>1940</v>
      </c>
      <c r="L403" t="s">
        <v>1039</v>
      </c>
      <c r="M403" s="1" t="s">
        <v>1038</v>
      </c>
      <c r="N403" s="1" t="s">
        <v>725</v>
      </c>
      <c r="Q403" s="1" t="s">
        <v>724</v>
      </c>
      <c r="S403" s="1" t="s">
        <v>1905</v>
      </c>
    </row>
    <row r="404" spans="1:19" x14ac:dyDescent="0.25">
      <c r="A404" s="1" t="s">
        <v>308</v>
      </c>
      <c r="B404" s="1" t="s">
        <v>308</v>
      </c>
      <c r="C404" s="1">
        <v>1</v>
      </c>
      <c r="D404" s="1">
        <v>2</v>
      </c>
      <c r="E404" s="1" t="s">
        <v>1944</v>
      </c>
      <c r="F404" s="1" t="s">
        <v>729</v>
      </c>
      <c r="G404" s="1" t="s">
        <v>1959</v>
      </c>
      <c r="H404" s="1" t="str">
        <f t="shared" si="6"/>
        <v>prc_hicp_midx_CP09211</v>
      </c>
      <c r="I404" s="1" t="s">
        <v>728</v>
      </c>
      <c r="K404" s="1" t="s">
        <v>1940</v>
      </c>
      <c r="L404" t="s">
        <v>1037</v>
      </c>
      <c r="M404" s="1" t="s">
        <v>1036</v>
      </c>
      <c r="N404" s="1" t="s">
        <v>725</v>
      </c>
      <c r="Q404" s="1" t="s">
        <v>724</v>
      </c>
      <c r="S404" s="1" t="s">
        <v>1905</v>
      </c>
    </row>
    <row r="405" spans="1:19" x14ac:dyDescent="0.25">
      <c r="A405" s="1" t="s">
        <v>308</v>
      </c>
      <c r="B405" s="1" t="s">
        <v>308</v>
      </c>
      <c r="C405" s="1">
        <v>1</v>
      </c>
      <c r="D405" s="1">
        <v>2</v>
      </c>
      <c r="E405" s="1" t="s">
        <v>1944</v>
      </c>
      <c r="F405" s="1" t="s">
        <v>729</v>
      </c>
      <c r="G405" s="1" t="s">
        <v>1959</v>
      </c>
      <c r="H405" s="1" t="str">
        <f t="shared" si="6"/>
        <v>prc_hicp_midx_CP09212</v>
      </c>
      <c r="I405" s="1" t="s">
        <v>728</v>
      </c>
      <c r="K405" s="1" t="s">
        <v>1940</v>
      </c>
      <c r="L405" t="s">
        <v>1035</v>
      </c>
      <c r="M405" s="1" t="s">
        <v>1034</v>
      </c>
      <c r="N405" s="1" t="s">
        <v>725</v>
      </c>
      <c r="Q405" s="1" t="s">
        <v>724</v>
      </c>
      <c r="S405" s="1" t="s">
        <v>1905</v>
      </c>
    </row>
    <row r="406" spans="1:19" x14ac:dyDescent="0.25">
      <c r="A406" s="1" t="s">
        <v>308</v>
      </c>
      <c r="B406" s="1" t="s">
        <v>308</v>
      </c>
      <c r="C406" s="1">
        <v>1</v>
      </c>
      <c r="D406" s="1">
        <v>2</v>
      </c>
      <c r="E406" s="1" t="s">
        <v>1944</v>
      </c>
      <c r="F406" s="1" t="s">
        <v>729</v>
      </c>
      <c r="G406" s="1" t="s">
        <v>1959</v>
      </c>
      <c r="H406" s="1" t="str">
        <f t="shared" si="6"/>
        <v>prc_hicp_midx_CP09213</v>
      </c>
      <c r="I406" s="1" t="s">
        <v>728</v>
      </c>
      <c r="K406" s="1" t="s">
        <v>1940</v>
      </c>
      <c r="L406" t="s">
        <v>1033</v>
      </c>
      <c r="M406" s="1" t="s">
        <v>1032</v>
      </c>
      <c r="N406" s="1" t="s">
        <v>725</v>
      </c>
      <c r="Q406" s="1" t="s">
        <v>724</v>
      </c>
      <c r="S406" s="1" t="s">
        <v>1905</v>
      </c>
    </row>
    <row r="407" spans="1:19" x14ac:dyDescent="0.25">
      <c r="A407" s="1" t="s">
        <v>308</v>
      </c>
      <c r="B407" s="1" t="s">
        <v>308</v>
      </c>
      <c r="C407" s="1">
        <v>1</v>
      </c>
      <c r="D407" s="1">
        <v>2</v>
      </c>
      <c r="E407" s="1" t="s">
        <v>1944</v>
      </c>
      <c r="F407" s="1" t="s">
        <v>729</v>
      </c>
      <c r="G407" s="1" t="s">
        <v>1959</v>
      </c>
      <c r="H407" s="1" t="str">
        <f t="shared" si="6"/>
        <v>prc_hicp_midx_CP09214</v>
      </c>
      <c r="I407" s="1" t="s">
        <v>728</v>
      </c>
      <c r="K407" s="1" t="s">
        <v>1940</v>
      </c>
      <c r="L407" t="s">
        <v>1031</v>
      </c>
      <c r="M407" s="1" t="s">
        <v>1030</v>
      </c>
      <c r="N407" s="1" t="s">
        <v>725</v>
      </c>
      <c r="Q407" s="1" t="s">
        <v>724</v>
      </c>
      <c r="S407" s="1" t="s">
        <v>1905</v>
      </c>
    </row>
    <row r="408" spans="1:19" x14ac:dyDescent="0.25">
      <c r="A408" s="1" t="s">
        <v>308</v>
      </c>
      <c r="B408" s="1" t="s">
        <v>308</v>
      </c>
      <c r="C408" s="1">
        <v>1</v>
      </c>
      <c r="D408" s="1">
        <v>2</v>
      </c>
      <c r="E408" s="1" t="s">
        <v>1944</v>
      </c>
      <c r="F408" s="1" t="s">
        <v>729</v>
      </c>
      <c r="G408" s="1" t="s">
        <v>1959</v>
      </c>
      <c r="H408" s="1" t="str">
        <f t="shared" si="6"/>
        <v>prc_hicp_midx_CP09215</v>
      </c>
      <c r="I408" s="1" t="s">
        <v>728</v>
      </c>
      <c r="K408" s="1" t="s">
        <v>1940</v>
      </c>
      <c r="L408" t="s">
        <v>1029</v>
      </c>
      <c r="M408" s="1" t="s">
        <v>1028</v>
      </c>
      <c r="N408" s="1" t="s">
        <v>725</v>
      </c>
      <c r="Q408" s="1" t="s">
        <v>724</v>
      </c>
      <c r="S408" s="1" t="s">
        <v>1905</v>
      </c>
    </row>
    <row r="409" spans="1:19" x14ac:dyDescent="0.25">
      <c r="A409" s="1" t="s">
        <v>308</v>
      </c>
      <c r="B409" s="1" t="s">
        <v>308</v>
      </c>
      <c r="C409" s="1">
        <v>1</v>
      </c>
      <c r="D409" s="1">
        <v>2</v>
      </c>
      <c r="E409" s="1" t="s">
        <v>1944</v>
      </c>
      <c r="F409" s="1" t="s">
        <v>729</v>
      </c>
      <c r="G409" s="1" t="s">
        <v>1959</v>
      </c>
      <c r="H409" s="1" t="str">
        <f t="shared" si="6"/>
        <v>prc_hicp_midx_CP0922</v>
      </c>
      <c r="I409" s="1" t="s">
        <v>728</v>
      </c>
      <c r="K409" s="1" t="s">
        <v>1940</v>
      </c>
      <c r="L409" t="s">
        <v>1027</v>
      </c>
      <c r="M409" s="1" t="s">
        <v>1026</v>
      </c>
      <c r="N409" s="1" t="s">
        <v>725</v>
      </c>
      <c r="Q409" s="1" t="s">
        <v>724</v>
      </c>
      <c r="S409" s="1" t="s">
        <v>1905</v>
      </c>
    </row>
    <row r="410" spans="1:19" x14ac:dyDescent="0.25">
      <c r="A410" s="1" t="s">
        <v>308</v>
      </c>
      <c r="B410" s="1" t="s">
        <v>308</v>
      </c>
      <c r="C410" s="1">
        <v>1</v>
      </c>
      <c r="D410" s="1">
        <v>2</v>
      </c>
      <c r="E410" s="1" t="s">
        <v>1944</v>
      </c>
      <c r="F410" s="1" t="s">
        <v>729</v>
      </c>
      <c r="G410" s="1" t="s">
        <v>1959</v>
      </c>
      <c r="H410" s="1" t="str">
        <f t="shared" si="6"/>
        <v>prc_hicp_midx_CP09221</v>
      </c>
      <c r="I410" s="1" t="s">
        <v>728</v>
      </c>
      <c r="K410" s="1" t="s">
        <v>1940</v>
      </c>
      <c r="L410" t="s">
        <v>1025</v>
      </c>
      <c r="M410" s="1" t="s">
        <v>1024</v>
      </c>
      <c r="N410" s="1" t="s">
        <v>725</v>
      </c>
      <c r="Q410" s="1" t="s">
        <v>724</v>
      </c>
      <c r="S410" s="1" t="s">
        <v>1905</v>
      </c>
    </row>
    <row r="411" spans="1:19" x14ac:dyDescent="0.25">
      <c r="A411" s="1" t="s">
        <v>308</v>
      </c>
      <c r="B411" s="1" t="s">
        <v>308</v>
      </c>
      <c r="C411" s="1">
        <v>1</v>
      </c>
      <c r="D411" s="1">
        <v>2</v>
      </c>
      <c r="E411" s="1" t="s">
        <v>1944</v>
      </c>
      <c r="F411" s="1" t="s">
        <v>729</v>
      </c>
      <c r="G411" s="1" t="s">
        <v>1959</v>
      </c>
      <c r="H411" s="1" t="str">
        <f t="shared" si="6"/>
        <v>prc_hicp_midx_CP09222</v>
      </c>
      <c r="I411" s="1" t="s">
        <v>728</v>
      </c>
      <c r="K411" s="1" t="s">
        <v>1940</v>
      </c>
      <c r="L411" t="s">
        <v>1023</v>
      </c>
      <c r="M411" s="1" t="s">
        <v>1022</v>
      </c>
      <c r="N411" s="1" t="s">
        <v>725</v>
      </c>
      <c r="Q411" s="1" t="s">
        <v>724</v>
      </c>
      <c r="S411" s="1" t="s">
        <v>1905</v>
      </c>
    </row>
    <row r="412" spans="1:19" x14ac:dyDescent="0.25">
      <c r="A412" s="1" t="s">
        <v>308</v>
      </c>
      <c r="B412" s="1" t="s">
        <v>308</v>
      </c>
      <c r="C412" s="1">
        <v>1</v>
      </c>
      <c r="D412" s="1">
        <v>2</v>
      </c>
      <c r="E412" s="1" t="s">
        <v>1944</v>
      </c>
      <c r="F412" s="1" t="s">
        <v>729</v>
      </c>
      <c r="G412" s="1" t="s">
        <v>1959</v>
      </c>
      <c r="H412" s="1" t="str">
        <f t="shared" si="6"/>
        <v>prc_hicp_midx_CP0923</v>
      </c>
      <c r="I412" s="1" t="s">
        <v>728</v>
      </c>
      <c r="K412" s="1" t="s">
        <v>1940</v>
      </c>
      <c r="L412" t="s">
        <v>1021</v>
      </c>
      <c r="M412" s="1" t="s">
        <v>1020</v>
      </c>
      <c r="N412" s="1" t="s">
        <v>725</v>
      </c>
      <c r="Q412" s="1" t="s">
        <v>724</v>
      </c>
      <c r="S412" s="1" t="s">
        <v>1905</v>
      </c>
    </row>
    <row r="413" spans="1:19" x14ac:dyDescent="0.25">
      <c r="A413" s="1" t="s">
        <v>308</v>
      </c>
      <c r="B413" s="1" t="s">
        <v>308</v>
      </c>
      <c r="C413" s="1">
        <v>1</v>
      </c>
      <c r="D413" s="1">
        <v>2</v>
      </c>
      <c r="E413" s="1" t="s">
        <v>1944</v>
      </c>
      <c r="F413" s="1" t="s">
        <v>729</v>
      </c>
      <c r="G413" s="1" t="s">
        <v>1959</v>
      </c>
      <c r="H413" s="1" t="str">
        <f t="shared" si="6"/>
        <v>prc_hicp_midx_CP093</v>
      </c>
      <c r="I413" s="1" t="s">
        <v>728</v>
      </c>
      <c r="K413" s="1" t="s">
        <v>1940</v>
      </c>
      <c r="L413" t="s">
        <v>1019</v>
      </c>
      <c r="M413" s="1" t="s">
        <v>1018</v>
      </c>
      <c r="N413" s="1" t="s">
        <v>725</v>
      </c>
      <c r="Q413" s="1" t="s">
        <v>724</v>
      </c>
      <c r="S413" s="1" t="s">
        <v>1905</v>
      </c>
    </row>
    <row r="414" spans="1:19" x14ac:dyDescent="0.25">
      <c r="A414" s="1" t="s">
        <v>308</v>
      </c>
      <c r="B414" s="1" t="s">
        <v>308</v>
      </c>
      <c r="C414" s="1">
        <v>1</v>
      </c>
      <c r="D414" s="1">
        <v>2</v>
      </c>
      <c r="E414" s="1" t="s">
        <v>1944</v>
      </c>
      <c r="F414" s="1" t="s">
        <v>729</v>
      </c>
      <c r="G414" s="1" t="s">
        <v>1959</v>
      </c>
      <c r="H414" s="1" t="str">
        <f t="shared" si="6"/>
        <v>prc_hicp_midx_CP0931</v>
      </c>
      <c r="I414" s="1" t="s">
        <v>728</v>
      </c>
      <c r="K414" s="1" t="s">
        <v>1940</v>
      </c>
      <c r="L414" t="s">
        <v>1017</v>
      </c>
      <c r="M414" s="1" t="s">
        <v>1016</v>
      </c>
      <c r="N414" s="1" t="s">
        <v>725</v>
      </c>
      <c r="Q414" s="1" t="s">
        <v>724</v>
      </c>
      <c r="S414" s="1" t="s">
        <v>1905</v>
      </c>
    </row>
    <row r="415" spans="1:19" x14ac:dyDescent="0.25">
      <c r="A415" s="1" t="s">
        <v>308</v>
      </c>
      <c r="B415" s="1" t="s">
        <v>308</v>
      </c>
      <c r="C415" s="1">
        <v>1</v>
      </c>
      <c r="D415" s="1">
        <v>2</v>
      </c>
      <c r="E415" s="1" t="s">
        <v>1944</v>
      </c>
      <c r="F415" s="1" t="s">
        <v>729</v>
      </c>
      <c r="G415" s="1" t="s">
        <v>1959</v>
      </c>
      <c r="H415" s="1" t="str">
        <f t="shared" si="6"/>
        <v>prc_hicp_midx_CP09311</v>
      </c>
      <c r="I415" s="1" t="s">
        <v>728</v>
      </c>
      <c r="K415" s="1" t="s">
        <v>1940</v>
      </c>
      <c r="L415" t="s">
        <v>1015</v>
      </c>
      <c r="M415" s="1" t="s">
        <v>1014</v>
      </c>
      <c r="N415" s="1" t="s">
        <v>725</v>
      </c>
      <c r="Q415" s="1" t="s">
        <v>724</v>
      </c>
      <c r="S415" s="1" t="s">
        <v>1905</v>
      </c>
    </row>
    <row r="416" spans="1:19" x14ac:dyDescent="0.25">
      <c r="A416" s="1" t="s">
        <v>308</v>
      </c>
      <c r="B416" s="1" t="s">
        <v>308</v>
      </c>
      <c r="C416" s="1">
        <v>1</v>
      </c>
      <c r="D416" s="1">
        <v>2</v>
      </c>
      <c r="E416" s="1" t="s">
        <v>1944</v>
      </c>
      <c r="F416" s="1" t="s">
        <v>729</v>
      </c>
      <c r="G416" s="1" t="s">
        <v>1959</v>
      </c>
      <c r="H416" s="1" t="str">
        <f t="shared" si="6"/>
        <v>prc_hicp_midx_CP09312</v>
      </c>
      <c r="I416" s="1" t="s">
        <v>728</v>
      </c>
      <c r="K416" s="1" t="s">
        <v>1940</v>
      </c>
      <c r="L416" t="s">
        <v>1013</v>
      </c>
      <c r="M416" s="1" t="s">
        <v>1012</v>
      </c>
      <c r="N416" s="1" t="s">
        <v>725</v>
      </c>
      <c r="Q416" s="1" t="s">
        <v>724</v>
      </c>
      <c r="S416" s="1" t="s">
        <v>1905</v>
      </c>
    </row>
    <row r="417" spans="1:19" x14ac:dyDescent="0.25">
      <c r="A417" s="1" t="s">
        <v>308</v>
      </c>
      <c r="B417" s="1" t="s">
        <v>308</v>
      </c>
      <c r="C417" s="1">
        <v>1</v>
      </c>
      <c r="D417" s="1">
        <v>2</v>
      </c>
      <c r="E417" s="1" t="s">
        <v>1944</v>
      </c>
      <c r="F417" s="1" t="s">
        <v>729</v>
      </c>
      <c r="G417" s="1" t="s">
        <v>1959</v>
      </c>
      <c r="H417" s="1" t="str">
        <f t="shared" si="6"/>
        <v>prc_hicp_midx_CP0932</v>
      </c>
      <c r="I417" s="1" t="s">
        <v>728</v>
      </c>
      <c r="K417" s="1" t="s">
        <v>1940</v>
      </c>
      <c r="L417" t="s">
        <v>1011</v>
      </c>
      <c r="M417" s="1" t="s">
        <v>1010</v>
      </c>
      <c r="N417" s="1" t="s">
        <v>725</v>
      </c>
      <c r="Q417" s="1" t="s">
        <v>724</v>
      </c>
      <c r="S417" s="1" t="s">
        <v>1905</v>
      </c>
    </row>
    <row r="418" spans="1:19" x14ac:dyDescent="0.25">
      <c r="A418" s="1" t="s">
        <v>308</v>
      </c>
      <c r="B418" s="1" t="s">
        <v>308</v>
      </c>
      <c r="C418" s="1">
        <v>1</v>
      </c>
      <c r="D418" s="1">
        <v>2</v>
      </c>
      <c r="E418" s="1" t="s">
        <v>1944</v>
      </c>
      <c r="F418" s="1" t="s">
        <v>729</v>
      </c>
      <c r="G418" s="1" t="s">
        <v>1959</v>
      </c>
      <c r="H418" s="1" t="str">
        <f t="shared" si="6"/>
        <v>prc_hicp_midx_CP09321</v>
      </c>
      <c r="I418" s="1" t="s">
        <v>728</v>
      </c>
      <c r="K418" s="1" t="s">
        <v>1940</v>
      </c>
      <c r="L418" t="s">
        <v>1009</v>
      </c>
      <c r="M418" s="1" t="s">
        <v>1008</v>
      </c>
      <c r="N418" s="1" t="s">
        <v>725</v>
      </c>
      <c r="Q418" s="1" t="s">
        <v>724</v>
      </c>
      <c r="S418" s="1" t="s">
        <v>1905</v>
      </c>
    </row>
    <row r="419" spans="1:19" x14ac:dyDescent="0.25">
      <c r="A419" s="1" t="s">
        <v>308</v>
      </c>
      <c r="B419" s="1" t="s">
        <v>308</v>
      </c>
      <c r="C419" s="1">
        <v>1</v>
      </c>
      <c r="D419" s="1">
        <v>2</v>
      </c>
      <c r="E419" s="1" t="s">
        <v>1944</v>
      </c>
      <c r="F419" s="1" t="s">
        <v>729</v>
      </c>
      <c r="G419" s="1" t="s">
        <v>1959</v>
      </c>
      <c r="H419" s="1" t="str">
        <f t="shared" si="6"/>
        <v>prc_hicp_midx_CP09322</v>
      </c>
      <c r="I419" s="1" t="s">
        <v>728</v>
      </c>
      <c r="K419" s="1" t="s">
        <v>1940</v>
      </c>
      <c r="L419" t="s">
        <v>1007</v>
      </c>
      <c r="M419" s="1" t="s">
        <v>1006</v>
      </c>
      <c r="N419" s="1" t="s">
        <v>725</v>
      </c>
      <c r="Q419" s="1" t="s">
        <v>724</v>
      </c>
      <c r="S419" s="1" t="s">
        <v>1905</v>
      </c>
    </row>
    <row r="420" spans="1:19" x14ac:dyDescent="0.25">
      <c r="A420" s="1" t="s">
        <v>308</v>
      </c>
      <c r="B420" s="1" t="s">
        <v>308</v>
      </c>
      <c r="C420" s="1">
        <v>1</v>
      </c>
      <c r="D420" s="1">
        <v>2</v>
      </c>
      <c r="E420" s="1" t="s">
        <v>1944</v>
      </c>
      <c r="F420" s="1" t="s">
        <v>729</v>
      </c>
      <c r="G420" s="1" t="s">
        <v>1959</v>
      </c>
      <c r="H420" s="1" t="str">
        <f t="shared" si="6"/>
        <v>prc_hicp_midx_CP09323</v>
      </c>
      <c r="I420" s="1" t="s">
        <v>728</v>
      </c>
      <c r="K420" s="1" t="s">
        <v>1940</v>
      </c>
      <c r="L420" t="s">
        <v>1005</v>
      </c>
      <c r="M420" s="1" t="s">
        <v>1004</v>
      </c>
      <c r="N420" s="1" t="s">
        <v>725</v>
      </c>
      <c r="Q420" s="1" t="s">
        <v>724</v>
      </c>
      <c r="S420" s="1" t="s">
        <v>1905</v>
      </c>
    </row>
    <row r="421" spans="1:19" x14ac:dyDescent="0.25">
      <c r="A421" s="1" t="s">
        <v>308</v>
      </c>
      <c r="B421" s="1" t="s">
        <v>308</v>
      </c>
      <c r="C421" s="1">
        <v>1</v>
      </c>
      <c r="D421" s="1">
        <v>2</v>
      </c>
      <c r="E421" s="1" t="s">
        <v>1944</v>
      </c>
      <c r="F421" s="1" t="s">
        <v>729</v>
      </c>
      <c r="G421" s="1" t="s">
        <v>1959</v>
      </c>
      <c r="H421" s="1" t="str">
        <f t="shared" si="6"/>
        <v>prc_hicp_midx_CP0933</v>
      </c>
      <c r="I421" s="1" t="s">
        <v>728</v>
      </c>
      <c r="K421" s="1" t="s">
        <v>1940</v>
      </c>
      <c r="L421" t="s">
        <v>1003</v>
      </c>
      <c r="M421" s="1" t="s">
        <v>1002</v>
      </c>
      <c r="N421" s="1" t="s">
        <v>725</v>
      </c>
      <c r="Q421" s="1" t="s">
        <v>724</v>
      </c>
      <c r="S421" s="1" t="s">
        <v>1905</v>
      </c>
    </row>
    <row r="422" spans="1:19" x14ac:dyDescent="0.25">
      <c r="A422" s="1" t="s">
        <v>308</v>
      </c>
      <c r="B422" s="1" t="s">
        <v>308</v>
      </c>
      <c r="C422" s="1">
        <v>1</v>
      </c>
      <c r="D422" s="1">
        <v>2</v>
      </c>
      <c r="E422" s="1" t="s">
        <v>1944</v>
      </c>
      <c r="F422" s="1" t="s">
        <v>729</v>
      </c>
      <c r="G422" s="1" t="s">
        <v>1959</v>
      </c>
      <c r="H422" s="1" t="str">
        <f t="shared" si="6"/>
        <v>prc_hicp_midx_CP09331</v>
      </c>
      <c r="I422" s="1" t="s">
        <v>728</v>
      </c>
      <c r="K422" s="1" t="s">
        <v>1940</v>
      </c>
      <c r="L422" t="s">
        <v>1001</v>
      </c>
      <c r="M422" s="1" t="s">
        <v>1000</v>
      </c>
      <c r="N422" s="1" t="s">
        <v>725</v>
      </c>
      <c r="Q422" s="1" t="s">
        <v>724</v>
      </c>
      <c r="S422" s="1" t="s">
        <v>1905</v>
      </c>
    </row>
    <row r="423" spans="1:19" x14ac:dyDescent="0.25">
      <c r="A423" s="1" t="s">
        <v>308</v>
      </c>
      <c r="B423" s="1" t="s">
        <v>308</v>
      </c>
      <c r="C423" s="1">
        <v>1</v>
      </c>
      <c r="D423" s="1">
        <v>2</v>
      </c>
      <c r="E423" s="1" t="s">
        <v>1944</v>
      </c>
      <c r="F423" s="1" t="s">
        <v>729</v>
      </c>
      <c r="G423" s="1" t="s">
        <v>1959</v>
      </c>
      <c r="H423" s="1" t="str">
        <f t="shared" si="6"/>
        <v>prc_hicp_midx_CP09332</v>
      </c>
      <c r="I423" s="1" t="s">
        <v>728</v>
      </c>
      <c r="K423" s="1" t="s">
        <v>1940</v>
      </c>
      <c r="L423" t="s">
        <v>999</v>
      </c>
      <c r="M423" s="1" t="s">
        <v>998</v>
      </c>
      <c r="N423" s="1" t="s">
        <v>725</v>
      </c>
      <c r="Q423" s="1" t="s">
        <v>724</v>
      </c>
      <c r="S423" s="1" t="s">
        <v>1905</v>
      </c>
    </row>
    <row r="424" spans="1:19" x14ac:dyDescent="0.25">
      <c r="A424" s="1" t="s">
        <v>308</v>
      </c>
      <c r="B424" s="1" t="s">
        <v>308</v>
      </c>
      <c r="C424" s="1">
        <v>1</v>
      </c>
      <c r="D424" s="1">
        <v>2</v>
      </c>
      <c r="E424" s="1" t="s">
        <v>1944</v>
      </c>
      <c r="F424" s="1" t="s">
        <v>729</v>
      </c>
      <c r="G424" s="1" t="s">
        <v>1959</v>
      </c>
      <c r="H424" s="1" t="str">
        <f t="shared" si="6"/>
        <v>prc_hicp_midx_CP0934</v>
      </c>
      <c r="I424" s="1" t="s">
        <v>728</v>
      </c>
      <c r="K424" s="1" t="s">
        <v>1940</v>
      </c>
      <c r="L424" t="s">
        <v>997</v>
      </c>
      <c r="M424" s="1" t="s">
        <v>996</v>
      </c>
      <c r="N424" s="1" t="s">
        <v>725</v>
      </c>
      <c r="Q424" s="1" t="s">
        <v>724</v>
      </c>
      <c r="S424" s="1" t="s">
        <v>1905</v>
      </c>
    </row>
    <row r="425" spans="1:19" x14ac:dyDescent="0.25">
      <c r="A425" s="1" t="s">
        <v>308</v>
      </c>
      <c r="B425" s="1" t="s">
        <v>308</v>
      </c>
      <c r="C425" s="1">
        <v>1</v>
      </c>
      <c r="D425" s="1">
        <v>2</v>
      </c>
      <c r="E425" s="1" t="s">
        <v>1944</v>
      </c>
      <c r="F425" s="1" t="s">
        <v>729</v>
      </c>
      <c r="G425" s="1" t="s">
        <v>1959</v>
      </c>
      <c r="H425" s="1" t="str">
        <f t="shared" si="6"/>
        <v>prc_hicp_midx_CP0934_0935</v>
      </c>
      <c r="I425" s="1" t="s">
        <v>728</v>
      </c>
      <c r="K425" s="1" t="s">
        <v>1940</v>
      </c>
      <c r="L425" t="s">
        <v>995</v>
      </c>
      <c r="M425" s="1" t="s">
        <v>994</v>
      </c>
      <c r="N425" s="1" t="s">
        <v>725</v>
      </c>
      <c r="Q425" s="1" t="s">
        <v>724</v>
      </c>
      <c r="S425" s="1" t="s">
        <v>1905</v>
      </c>
    </row>
    <row r="426" spans="1:19" x14ac:dyDescent="0.25">
      <c r="A426" s="1" t="s">
        <v>308</v>
      </c>
      <c r="B426" s="1" t="s">
        <v>308</v>
      </c>
      <c r="C426" s="1">
        <v>1</v>
      </c>
      <c r="D426" s="1">
        <v>2</v>
      </c>
      <c r="E426" s="1" t="s">
        <v>1944</v>
      </c>
      <c r="F426" s="1" t="s">
        <v>729</v>
      </c>
      <c r="G426" s="1" t="s">
        <v>1959</v>
      </c>
      <c r="H426" s="1" t="str">
        <f t="shared" si="6"/>
        <v>prc_hicp_midx_CP09341</v>
      </c>
      <c r="I426" s="1" t="s">
        <v>728</v>
      </c>
      <c r="K426" s="1" t="s">
        <v>1940</v>
      </c>
      <c r="L426" t="s">
        <v>993</v>
      </c>
      <c r="M426" s="1" t="s">
        <v>992</v>
      </c>
      <c r="N426" s="1" t="s">
        <v>725</v>
      </c>
      <c r="Q426" s="1" t="s">
        <v>724</v>
      </c>
      <c r="S426" s="1" t="s">
        <v>1905</v>
      </c>
    </row>
    <row r="427" spans="1:19" x14ac:dyDescent="0.25">
      <c r="A427" s="1" t="s">
        <v>308</v>
      </c>
      <c r="B427" s="1" t="s">
        <v>308</v>
      </c>
      <c r="C427" s="1">
        <v>1</v>
      </c>
      <c r="D427" s="1">
        <v>2</v>
      </c>
      <c r="E427" s="1" t="s">
        <v>1944</v>
      </c>
      <c r="F427" s="1" t="s">
        <v>729</v>
      </c>
      <c r="G427" s="1" t="s">
        <v>1959</v>
      </c>
      <c r="H427" s="1" t="str">
        <f t="shared" si="6"/>
        <v>prc_hicp_midx_CP09342</v>
      </c>
      <c r="I427" s="1" t="s">
        <v>728</v>
      </c>
      <c r="K427" s="1" t="s">
        <v>1940</v>
      </c>
      <c r="L427" t="s">
        <v>991</v>
      </c>
      <c r="M427" s="1" t="s">
        <v>990</v>
      </c>
      <c r="N427" s="1" t="s">
        <v>725</v>
      </c>
      <c r="Q427" s="1" t="s">
        <v>724</v>
      </c>
      <c r="S427" s="1" t="s">
        <v>1905</v>
      </c>
    </row>
    <row r="428" spans="1:19" x14ac:dyDescent="0.25">
      <c r="A428" s="1" t="s">
        <v>308</v>
      </c>
      <c r="B428" s="1" t="s">
        <v>308</v>
      </c>
      <c r="C428" s="1">
        <v>1</v>
      </c>
      <c r="D428" s="1">
        <v>2</v>
      </c>
      <c r="E428" s="1" t="s">
        <v>1944</v>
      </c>
      <c r="F428" s="1" t="s">
        <v>729</v>
      </c>
      <c r="G428" s="1" t="s">
        <v>1959</v>
      </c>
      <c r="H428" s="1" t="str">
        <f t="shared" si="6"/>
        <v>prc_hicp_midx_CP0935</v>
      </c>
      <c r="I428" s="1" t="s">
        <v>728</v>
      </c>
      <c r="K428" s="1" t="s">
        <v>1940</v>
      </c>
      <c r="L428" t="s">
        <v>989</v>
      </c>
      <c r="M428" s="1" t="s">
        <v>988</v>
      </c>
      <c r="N428" s="1" t="s">
        <v>725</v>
      </c>
      <c r="Q428" s="1" t="s">
        <v>724</v>
      </c>
      <c r="S428" s="1" t="s">
        <v>1905</v>
      </c>
    </row>
    <row r="429" spans="1:19" x14ac:dyDescent="0.25">
      <c r="A429" s="1" t="s">
        <v>308</v>
      </c>
      <c r="B429" s="1" t="s">
        <v>308</v>
      </c>
      <c r="C429" s="1">
        <v>1</v>
      </c>
      <c r="D429" s="1">
        <v>2</v>
      </c>
      <c r="E429" s="1" t="s">
        <v>1944</v>
      </c>
      <c r="F429" s="1" t="s">
        <v>729</v>
      </c>
      <c r="G429" s="1" t="s">
        <v>1959</v>
      </c>
      <c r="H429" s="1" t="str">
        <f t="shared" si="6"/>
        <v>prc_hicp_midx_CP094</v>
      </c>
      <c r="I429" s="1" t="s">
        <v>728</v>
      </c>
      <c r="K429" s="1" t="s">
        <v>1940</v>
      </c>
      <c r="L429" t="s">
        <v>987</v>
      </c>
      <c r="M429" s="1" t="s">
        <v>986</v>
      </c>
      <c r="N429" s="1" t="s">
        <v>725</v>
      </c>
      <c r="Q429" s="1" t="s">
        <v>724</v>
      </c>
      <c r="S429" s="1" t="s">
        <v>1905</v>
      </c>
    </row>
    <row r="430" spans="1:19" x14ac:dyDescent="0.25">
      <c r="A430" s="1" t="s">
        <v>308</v>
      </c>
      <c r="B430" s="1" t="s">
        <v>308</v>
      </c>
      <c r="C430" s="1">
        <v>1</v>
      </c>
      <c r="D430" s="1">
        <v>2</v>
      </c>
      <c r="E430" s="1" t="s">
        <v>1944</v>
      </c>
      <c r="F430" s="1" t="s">
        <v>729</v>
      </c>
      <c r="G430" s="1" t="s">
        <v>1959</v>
      </c>
      <c r="H430" s="1" t="str">
        <f t="shared" si="6"/>
        <v>prc_hicp_midx_CP0941</v>
      </c>
      <c r="I430" s="1" t="s">
        <v>728</v>
      </c>
      <c r="K430" s="1" t="s">
        <v>1940</v>
      </c>
      <c r="L430" t="s">
        <v>985</v>
      </c>
      <c r="M430" s="1" t="s">
        <v>984</v>
      </c>
      <c r="N430" s="1" t="s">
        <v>725</v>
      </c>
      <c r="Q430" s="1" t="s">
        <v>724</v>
      </c>
      <c r="S430" s="1" t="s">
        <v>1905</v>
      </c>
    </row>
    <row r="431" spans="1:19" x14ac:dyDescent="0.25">
      <c r="A431" s="1" t="s">
        <v>308</v>
      </c>
      <c r="B431" s="1" t="s">
        <v>308</v>
      </c>
      <c r="C431" s="1">
        <v>1</v>
      </c>
      <c r="D431" s="1">
        <v>2</v>
      </c>
      <c r="E431" s="1" t="s">
        <v>1944</v>
      </c>
      <c r="F431" s="1" t="s">
        <v>729</v>
      </c>
      <c r="G431" s="1" t="s">
        <v>1959</v>
      </c>
      <c r="H431" s="1" t="str">
        <f t="shared" si="6"/>
        <v>prc_hicp_midx_CP09411</v>
      </c>
      <c r="I431" s="1" t="s">
        <v>728</v>
      </c>
      <c r="K431" s="1" t="s">
        <v>1940</v>
      </c>
      <c r="L431" t="s">
        <v>983</v>
      </c>
      <c r="M431" s="1" t="s">
        <v>982</v>
      </c>
      <c r="N431" s="1" t="s">
        <v>725</v>
      </c>
      <c r="Q431" s="1" t="s">
        <v>724</v>
      </c>
      <c r="S431" s="1" t="s">
        <v>1905</v>
      </c>
    </row>
    <row r="432" spans="1:19" x14ac:dyDescent="0.25">
      <c r="A432" s="1" t="s">
        <v>308</v>
      </c>
      <c r="B432" s="1" t="s">
        <v>308</v>
      </c>
      <c r="C432" s="1">
        <v>1</v>
      </c>
      <c r="D432" s="1">
        <v>2</v>
      </c>
      <c r="E432" s="1" t="s">
        <v>1944</v>
      </c>
      <c r="F432" s="1" t="s">
        <v>729</v>
      </c>
      <c r="G432" s="1" t="s">
        <v>1959</v>
      </c>
      <c r="H432" s="1" t="str">
        <f t="shared" si="6"/>
        <v>prc_hicp_midx_CP09412</v>
      </c>
      <c r="I432" s="1" t="s">
        <v>728</v>
      </c>
      <c r="K432" s="1" t="s">
        <v>1940</v>
      </c>
      <c r="L432" t="s">
        <v>981</v>
      </c>
      <c r="M432" s="1" t="s">
        <v>980</v>
      </c>
      <c r="N432" s="1" t="s">
        <v>725</v>
      </c>
      <c r="Q432" s="1" t="s">
        <v>724</v>
      </c>
      <c r="S432" s="1" t="s">
        <v>1905</v>
      </c>
    </row>
    <row r="433" spans="1:19" x14ac:dyDescent="0.25">
      <c r="A433" s="1" t="s">
        <v>308</v>
      </c>
      <c r="B433" s="1" t="s">
        <v>308</v>
      </c>
      <c r="C433" s="1">
        <v>1</v>
      </c>
      <c r="D433" s="1">
        <v>2</v>
      </c>
      <c r="E433" s="1" t="s">
        <v>1944</v>
      </c>
      <c r="F433" s="1" t="s">
        <v>729</v>
      </c>
      <c r="G433" s="1" t="s">
        <v>1959</v>
      </c>
      <c r="H433" s="1" t="str">
        <f t="shared" si="6"/>
        <v>prc_hicp_midx_CP0942</v>
      </c>
      <c r="I433" s="1" t="s">
        <v>728</v>
      </c>
      <c r="K433" s="1" t="s">
        <v>1940</v>
      </c>
      <c r="L433" t="s">
        <v>979</v>
      </c>
      <c r="M433" s="1" t="s">
        <v>978</v>
      </c>
      <c r="N433" s="1" t="s">
        <v>725</v>
      </c>
      <c r="Q433" s="1" t="s">
        <v>724</v>
      </c>
      <c r="S433" s="1" t="s">
        <v>1905</v>
      </c>
    </row>
    <row r="434" spans="1:19" x14ac:dyDescent="0.25">
      <c r="A434" s="1" t="s">
        <v>308</v>
      </c>
      <c r="B434" s="1" t="s">
        <v>308</v>
      </c>
      <c r="C434" s="1">
        <v>1</v>
      </c>
      <c r="D434" s="1">
        <v>2</v>
      </c>
      <c r="E434" s="1" t="s">
        <v>1944</v>
      </c>
      <c r="F434" s="1" t="s">
        <v>729</v>
      </c>
      <c r="G434" s="1" t="s">
        <v>1959</v>
      </c>
      <c r="H434" s="1" t="str">
        <f t="shared" si="6"/>
        <v>prc_hicp_midx_CP09421</v>
      </c>
      <c r="I434" s="1" t="s">
        <v>728</v>
      </c>
      <c r="K434" s="1" t="s">
        <v>1940</v>
      </c>
      <c r="L434" t="s">
        <v>977</v>
      </c>
      <c r="M434" s="1" t="s">
        <v>976</v>
      </c>
      <c r="N434" s="1" t="s">
        <v>725</v>
      </c>
      <c r="Q434" s="1" t="s">
        <v>724</v>
      </c>
      <c r="S434" s="1" t="s">
        <v>1905</v>
      </c>
    </row>
    <row r="435" spans="1:19" x14ac:dyDescent="0.25">
      <c r="A435" s="1" t="s">
        <v>308</v>
      </c>
      <c r="B435" s="1" t="s">
        <v>308</v>
      </c>
      <c r="C435" s="1">
        <v>1</v>
      </c>
      <c r="D435" s="1">
        <v>2</v>
      </c>
      <c r="E435" s="1" t="s">
        <v>1944</v>
      </c>
      <c r="F435" s="1" t="s">
        <v>729</v>
      </c>
      <c r="G435" s="1" t="s">
        <v>1959</v>
      </c>
      <c r="H435" s="1" t="str">
        <f t="shared" si="6"/>
        <v>prc_hicp_midx_CP09422</v>
      </c>
      <c r="I435" s="1" t="s">
        <v>728</v>
      </c>
      <c r="K435" s="1" t="s">
        <v>1940</v>
      </c>
      <c r="L435" t="s">
        <v>975</v>
      </c>
      <c r="M435" s="1" t="s">
        <v>974</v>
      </c>
      <c r="N435" s="1" t="s">
        <v>725</v>
      </c>
      <c r="Q435" s="1" t="s">
        <v>724</v>
      </c>
      <c r="S435" s="1" t="s">
        <v>1905</v>
      </c>
    </row>
    <row r="436" spans="1:19" x14ac:dyDescent="0.25">
      <c r="A436" s="1" t="s">
        <v>308</v>
      </c>
      <c r="B436" s="1" t="s">
        <v>308</v>
      </c>
      <c r="C436" s="1">
        <v>1</v>
      </c>
      <c r="D436" s="1">
        <v>2</v>
      </c>
      <c r="E436" s="1" t="s">
        <v>1944</v>
      </c>
      <c r="F436" s="1" t="s">
        <v>729</v>
      </c>
      <c r="G436" s="1" t="s">
        <v>1959</v>
      </c>
      <c r="H436" s="1" t="str">
        <f t="shared" si="6"/>
        <v>prc_hicp_midx_CP09423</v>
      </c>
      <c r="I436" s="1" t="s">
        <v>728</v>
      </c>
      <c r="K436" s="1" t="s">
        <v>1940</v>
      </c>
      <c r="L436" t="s">
        <v>973</v>
      </c>
      <c r="M436" s="1" t="s">
        <v>972</v>
      </c>
      <c r="N436" s="1" t="s">
        <v>725</v>
      </c>
      <c r="Q436" s="1" t="s">
        <v>724</v>
      </c>
      <c r="S436" s="1" t="s">
        <v>1905</v>
      </c>
    </row>
    <row r="437" spans="1:19" x14ac:dyDescent="0.25">
      <c r="A437" s="1" t="s">
        <v>308</v>
      </c>
      <c r="B437" s="1" t="s">
        <v>308</v>
      </c>
      <c r="C437" s="1">
        <v>1</v>
      </c>
      <c r="D437" s="1">
        <v>2</v>
      </c>
      <c r="E437" s="1" t="s">
        <v>1944</v>
      </c>
      <c r="F437" s="1" t="s">
        <v>729</v>
      </c>
      <c r="G437" s="1" t="s">
        <v>1959</v>
      </c>
      <c r="H437" s="1" t="str">
        <f t="shared" si="6"/>
        <v>prc_hicp_midx_CP09424</v>
      </c>
      <c r="I437" s="1" t="s">
        <v>728</v>
      </c>
      <c r="K437" s="1" t="s">
        <v>1940</v>
      </c>
      <c r="L437" t="s">
        <v>971</v>
      </c>
      <c r="M437" s="1" t="s">
        <v>970</v>
      </c>
      <c r="N437" s="1" t="s">
        <v>725</v>
      </c>
      <c r="Q437" s="1" t="s">
        <v>724</v>
      </c>
      <c r="S437" s="1" t="s">
        <v>1905</v>
      </c>
    </row>
    <row r="438" spans="1:19" x14ac:dyDescent="0.25">
      <c r="A438" s="1" t="s">
        <v>308</v>
      </c>
      <c r="B438" s="1" t="s">
        <v>308</v>
      </c>
      <c r="C438" s="1">
        <v>1</v>
      </c>
      <c r="D438" s="1">
        <v>2</v>
      </c>
      <c r="E438" s="1" t="s">
        <v>1944</v>
      </c>
      <c r="F438" s="1" t="s">
        <v>729</v>
      </c>
      <c r="G438" s="1" t="s">
        <v>1959</v>
      </c>
      <c r="H438" s="1" t="str">
        <f t="shared" si="6"/>
        <v>prc_hicp_midx_CP09425</v>
      </c>
      <c r="I438" s="1" t="s">
        <v>728</v>
      </c>
      <c r="K438" s="1" t="s">
        <v>1940</v>
      </c>
      <c r="L438" t="s">
        <v>969</v>
      </c>
      <c r="M438" s="1" t="s">
        <v>968</v>
      </c>
      <c r="N438" s="1" t="s">
        <v>725</v>
      </c>
      <c r="Q438" s="1" t="s">
        <v>724</v>
      </c>
      <c r="S438" s="1" t="s">
        <v>1905</v>
      </c>
    </row>
    <row r="439" spans="1:19" x14ac:dyDescent="0.25">
      <c r="A439" s="1" t="s">
        <v>308</v>
      </c>
      <c r="B439" s="1" t="s">
        <v>308</v>
      </c>
      <c r="C439" s="1">
        <v>1</v>
      </c>
      <c r="D439" s="1">
        <v>2</v>
      </c>
      <c r="E439" s="1" t="s">
        <v>1944</v>
      </c>
      <c r="F439" s="1" t="s">
        <v>729</v>
      </c>
      <c r="G439" s="1" t="s">
        <v>1959</v>
      </c>
      <c r="H439" s="1" t="str">
        <f t="shared" si="6"/>
        <v>prc_hicp_midx_CP09429</v>
      </c>
      <c r="I439" s="1" t="s">
        <v>728</v>
      </c>
      <c r="K439" s="1" t="s">
        <v>1940</v>
      </c>
      <c r="L439" t="s">
        <v>967</v>
      </c>
      <c r="M439" s="1" t="s">
        <v>966</v>
      </c>
      <c r="N439" s="1" t="s">
        <v>725</v>
      </c>
      <c r="Q439" s="1" t="s">
        <v>724</v>
      </c>
      <c r="S439" s="1" t="s">
        <v>1905</v>
      </c>
    </row>
    <row r="440" spans="1:19" x14ac:dyDescent="0.25">
      <c r="A440" s="1" t="s">
        <v>308</v>
      </c>
      <c r="B440" s="1" t="s">
        <v>308</v>
      </c>
      <c r="C440" s="1">
        <v>1</v>
      </c>
      <c r="D440" s="1">
        <v>2</v>
      </c>
      <c r="E440" s="1" t="s">
        <v>1944</v>
      </c>
      <c r="F440" s="1" t="s">
        <v>729</v>
      </c>
      <c r="G440" s="1" t="s">
        <v>1959</v>
      </c>
      <c r="H440" s="1" t="str">
        <f t="shared" si="6"/>
        <v>prc_hicp_midx_CP095</v>
      </c>
      <c r="I440" s="1" t="s">
        <v>728</v>
      </c>
      <c r="K440" s="1" t="s">
        <v>1940</v>
      </c>
      <c r="L440" t="s">
        <v>965</v>
      </c>
      <c r="M440" s="1" t="s">
        <v>964</v>
      </c>
      <c r="N440" s="1" t="s">
        <v>725</v>
      </c>
      <c r="Q440" s="1" t="s">
        <v>724</v>
      </c>
      <c r="S440" s="1" t="s">
        <v>1905</v>
      </c>
    </row>
    <row r="441" spans="1:19" x14ac:dyDescent="0.25">
      <c r="A441" s="1" t="s">
        <v>308</v>
      </c>
      <c r="B441" s="1" t="s">
        <v>308</v>
      </c>
      <c r="C441" s="1">
        <v>1</v>
      </c>
      <c r="D441" s="1">
        <v>2</v>
      </c>
      <c r="E441" s="1" t="s">
        <v>1944</v>
      </c>
      <c r="F441" s="1" t="s">
        <v>729</v>
      </c>
      <c r="G441" s="1" t="s">
        <v>1959</v>
      </c>
      <c r="H441" s="1" t="str">
        <f t="shared" si="6"/>
        <v>prc_hicp_midx_CP0951</v>
      </c>
      <c r="I441" s="1" t="s">
        <v>728</v>
      </c>
      <c r="K441" s="1" t="s">
        <v>1940</v>
      </c>
      <c r="L441" t="s">
        <v>963</v>
      </c>
      <c r="M441" s="1" t="s">
        <v>962</v>
      </c>
      <c r="N441" s="1" t="s">
        <v>725</v>
      </c>
      <c r="Q441" s="1" t="s">
        <v>724</v>
      </c>
      <c r="S441" s="1" t="s">
        <v>1905</v>
      </c>
    </row>
    <row r="442" spans="1:19" x14ac:dyDescent="0.25">
      <c r="A442" s="1" t="s">
        <v>308</v>
      </c>
      <c r="B442" s="1" t="s">
        <v>308</v>
      </c>
      <c r="C442" s="1">
        <v>1</v>
      </c>
      <c r="D442" s="1">
        <v>2</v>
      </c>
      <c r="E442" s="1" t="s">
        <v>1944</v>
      </c>
      <c r="F442" s="1" t="s">
        <v>729</v>
      </c>
      <c r="G442" s="1" t="s">
        <v>1959</v>
      </c>
      <c r="H442" s="1" t="str">
        <f t="shared" si="6"/>
        <v>prc_hicp_midx_CP09511</v>
      </c>
      <c r="I442" s="1" t="s">
        <v>728</v>
      </c>
      <c r="K442" s="1" t="s">
        <v>1940</v>
      </c>
      <c r="L442" t="s">
        <v>961</v>
      </c>
      <c r="M442" s="1" t="s">
        <v>960</v>
      </c>
      <c r="N442" s="1" t="s">
        <v>725</v>
      </c>
      <c r="Q442" s="1" t="s">
        <v>724</v>
      </c>
      <c r="S442" s="1" t="s">
        <v>1905</v>
      </c>
    </row>
    <row r="443" spans="1:19" x14ac:dyDescent="0.25">
      <c r="A443" s="1" t="s">
        <v>308</v>
      </c>
      <c r="B443" s="1" t="s">
        <v>308</v>
      </c>
      <c r="C443" s="1">
        <v>1</v>
      </c>
      <c r="D443" s="1">
        <v>2</v>
      </c>
      <c r="E443" s="1" t="s">
        <v>1944</v>
      </c>
      <c r="F443" s="1" t="s">
        <v>729</v>
      </c>
      <c r="G443" s="1" t="s">
        <v>1959</v>
      </c>
      <c r="H443" s="1" t="str">
        <f t="shared" si="6"/>
        <v>prc_hicp_midx_CP09512</v>
      </c>
      <c r="I443" s="1" t="s">
        <v>728</v>
      </c>
      <c r="K443" s="1" t="s">
        <v>1940</v>
      </c>
      <c r="L443" t="s">
        <v>959</v>
      </c>
      <c r="M443" s="1" t="s">
        <v>958</v>
      </c>
      <c r="N443" s="1" t="s">
        <v>725</v>
      </c>
      <c r="Q443" s="1" t="s">
        <v>724</v>
      </c>
      <c r="S443" s="1" t="s">
        <v>1905</v>
      </c>
    </row>
    <row r="444" spans="1:19" x14ac:dyDescent="0.25">
      <c r="A444" s="1" t="s">
        <v>308</v>
      </c>
      <c r="B444" s="1" t="s">
        <v>308</v>
      </c>
      <c r="C444" s="1">
        <v>1</v>
      </c>
      <c r="D444" s="1">
        <v>2</v>
      </c>
      <c r="E444" s="1" t="s">
        <v>1944</v>
      </c>
      <c r="F444" s="1" t="s">
        <v>729</v>
      </c>
      <c r="G444" s="1" t="s">
        <v>1959</v>
      </c>
      <c r="H444" s="1" t="str">
        <f t="shared" si="6"/>
        <v>prc_hicp_midx_CP09513</v>
      </c>
      <c r="I444" s="1" t="s">
        <v>728</v>
      </c>
      <c r="K444" s="1" t="s">
        <v>1940</v>
      </c>
      <c r="L444" t="s">
        <v>957</v>
      </c>
      <c r="M444" s="1" t="s">
        <v>956</v>
      </c>
      <c r="N444" s="1" t="s">
        <v>725</v>
      </c>
      <c r="Q444" s="1" t="s">
        <v>724</v>
      </c>
      <c r="S444" s="1" t="s">
        <v>1905</v>
      </c>
    </row>
    <row r="445" spans="1:19" x14ac:dyDescent="0.25">
      <c r="A445" s="1" t="s">
        <v>308</v>
      </c>
      <c r="B445" s="1" t="s">
        <v>308</v>
      </c>
      <c r="C445" s="1">
        <v>1</v>
      </c>
      <c r="D445" s="1">
        <v>2</v>
      </c>
      <c r="E445" s="1" t="s">
        <v>1944</v>
      </c>
      <c r="F445" s="1" t="s">
        <v>729</v>
      </c>
      <c r="G445" s="1" t="s">
        <v>1959</v>
      </c>
      <c r="H445" s="1" t="str">
        <f t="shared" si="6"/>
        <v>prc_hicp_midx_CP09514</v>
      </c>
      <c r="I445" s="1" t="s">
        <v>728</v>
      </c>
      <c r="K445" s="1" t="s">
        <v>1940</v>
      </c>
      <c r="L445" t="s">
        <v>955</v>
      </c>
      <c r="M445" s="1" t="s">
        <v>954</v>
      </c>
      <c r="N445" s="1" t="s">
        <v>725</v>
      </c>
      <c r="Q445" s="1" t="s">
        <v>724</v>
      </c>
      <c r="S445" s="1" t="s">
        <v>1905</v>
      </c>
    </row>
    <row r="446" spans="1:19" x14ac:dyDescent="0.25">
      <c r="A446" s="1" t="s">
        <v>308</v>
      </c>
      <c r="B446" s="1" t="s">
        <v>308</v>
      </c>
      <c r="C446" s="1">
        <v>1</v>
      </c>
      <c r="D446" s="1">
        <v>2</v>
      </c>
      <c r="E446" s="1" t="s">
        <v>1944</v>
      </c>
      <c r="F446" s="1" t="s">
        <v>729</v>
      </c>
      <c r="G446" s="1" t="s">
        <v>1959</v>
      </c>
      <c r="H446" s="1" t="str">
        <f t="shared" si="6"/>
        <v>prc_hicp_midx_CP0952</v>
      </c>
      <c r="I446" s="1" t="s">
        <v>728</v>
      </c>
      <c r="K446" s="1" t="s">
        <v>1940</v>
      </c>
      <c r="L446" t="s">
        <v>953</v>
      </c>
      <c r="M446" s="1" t="s">
        <v>952</v>
      </c>
      <c r="N446" s="1" t="s">
        <v>725</v>
      </c>
      <c r="Q446" s="1" t="s">
        <v>724</v>
      </c>
      <c r="S446" s="1" t="s">
        <v>1905</v>
      </c>
    </row>
    <row r="447" spans="1:19" x14ac:dyDescent="0.25">
      <c r="A447" s="1" t="s">
        <v>308</v>
      </c>
      <c r="B447" s="1" t="s">
        <v>308</v>
      </c>
      <c r="C447" s="1">
        <v>1</v>
      </c>
      <c r="D447" s="1">
        <v>2</v>
      </c>
      <c r="E447" s="1" t="s">
        <v>1944</v>
      </c>
      <c r="F447" s="1" t="s">
        <v>729</v>
      </c>
      <c r="G447" s="1" t="s">
        <v>1959</v>
      </c>
      <c r="H447" s="1" t="str">
        <f t="shared" si="6"/>
        <v>prc_hicp_midx_CP09521</v>
      </c>
      <c r="I447" s="1" t="s">
        <v>728</v>
      </c>
      <c r="K447" s="1" t="s">
        <v>1940</v>
      </c>
      <c r="L447" t="s">
        <v>951</v>
      </c>
      <c r="M447" s="1" t="s">
        <v>950</v>
      </c>
      <c r="N447" s="1" t="s">
        <v>725</v>
      </c>
      <c r="Q447" s="1" t="s">
        <v>724</v>
      </c>
      <c r="S447" s="1" t="s">
        <v>1905</v>
      </c>
    </row>
    <row r="448" spans="1:19" x14ac:dyDescent="0.25">
      <c r="A448" s="1" t="s">
        <v>308</v>
      </c>
      <c r="B448" s="1" t="s">
        <v>308</v>
      </c>
      <c r="C448" s="1">
        <v>1</v>
      </c>
      <c r="D448" s="1">
        <v>2</v>
      </c>
      <c r="E448" s="1" t="s">
        <v>1944</v>
      </c>
      <c r="F448" s="1" t="s">
        <v>729</v>
      </c>
      <c r="G448" s="1" t="s">
        <v>1959</v>
      </c>
      <c r="H448" s="1" t="str">
        <f t="shared" si="6"/>
        <v>prc_hicp_midx_CP09522</v>
      </c>
      <c r="I448" s="1" t="s">
        <v>728</v>
      </c>
      <c r="K448" s="1" t="s">
        <v>1940</v>
      </c>
      <c r="L448" t="s">
        <v>949</v>
      </c>
      <c r="M448" s="1" t="s">
        <v>948</v>
      </c>
      <c r="N448" s="1" t="s">
        <v>725</v>
      </c>
      <c r="Q448" s="1" t="s">
        <v>724</v>
      </c>
      <c r="S448" s="1" t="s">
        <v>1905</v>
      </c>
    </row>
    <row r="449" spans="1:19" x14ac:dyDescent="0.25">
      <c r="A449" s="1" t="s">
        <v>308</v>
      </c>
      <c r="B449" s="1" t="s">
        <v>308</v>
      </c>
      <c r="C449" s="1">
        <v>1</v>
      </c>
      <c r="D449" s="1">
        <v>2</v>
      </c>
      <c r="E449" s="1" t="s">
        <v>1944</v>
      </c>
      <c r="F449" s="1" t="s">
        <v>729</v>
      </c>
      <c r="G449" s="1" t="s">
        <v>1959</v>
      </c>
      <c r="H449" s="1" t="str">
        <f t="shared" si="6"/>
        <v>prc_hicp_midx_CP0953</v>
      </c>
      <c r="I449" s="1" t="s">
        <v>728</v>
      </c>
      <c r="K449" s="1" t="s">
        <v>1940</v>
      </c>
      <c r="L449" t="s">
        <v>947</v>
      </c>
      <c r="M449" s="1" t="s">
        <v>946</v>
      </c>
      <c r="N449" s="1" t="s">
        <v>725</v>
      </c>
      <c r="Q449" s="1" t="s">
        <v>724</v>
      </c>
      <c r="S449" s="1" t="s">
        <v>1905</v>
      </c>
    </row>
    <row r="450" spans="1:19" x14ac:dyDescent="0.25">
      <c r="A450" s="1" t="s">
        <v>308</v>
      </c>
      <c r="B450" s="1" t="s">
        <v>308</v>
      </c>
      <c r="C450" s="1">
        <v>1</v>
      </c>
      <c r="D450" s="1">
        <v>2</v>
      </c>
      <c r="E450" s="1" t="s">
        <v>1944</v>
      </c>
      <c r="F450" s="1" t="s">
        <v>729</v>
      </c>
      <c r="G450" s="1" t="s">
        <v>1959</v>
      </c>
      <c r="H450" s="1" t="str">
        <f t="shared" si="6"/>
        <v>prc_hicp_midx_CP0953_0954</v>
      </c>
      <c r="I450" s="1" t="s">
        <v>728</v>
      </c>
      <c r="K450" s="1" t="s">
        <v>1940</v>
      </c>
      <c r="L450" t="s">
        <v>945</v>
      </c>
      <c r="M450" s="1" t="s">
        <v>944</v>
      </c>
      <c r="N450" s="1" t="s">
        <v>725</v>
      </c>
      <c r="Q450" s="1" t="s">
        <v>724</v>
      </c>
      <c r="S450" s="1" t="s">
        <v>1905</v>
      </c>
    </row>
    <row r="451" spans="1:19" x14ac:dyDescent="0.25">
      <c r="A451" s="1" t="s">
        <v>308</v>
      </c>
      <c r="B451" s="1" t="s">
        <v>308</v>
      </c>
      <c r="C451" s="1">
        <v>1</v>
      </c>
      <c r="D451" s="1">
        <v>2</v>
      </c>
      <c r="E451" s="1" t="s">
        <v>1944</v>
      </c>
      <c r="F451" s="1" t="s">
        <v>729</v>
      </c>
      <c r="G451" s="1" t="s">
        <v>1959</v>
      </c>
      <c r="H451" s="1" t="str">
        <f t="shared" ref="H451:H514" si="7">+I451&amp;"_"&amp;L451</f>
        <v>prc_hicp_midx_CP0954</v>
      </c>
      <c r="I451" s="1" t="s">
        <v>728</v>
      </c>
      <c r="K451" s="1" t="s">
        <v>1940</v>
      </c>
      <c r="L451" t="s">
        <v>943</v>
      </c>
      <c r="M451" s="1" t="s">
        <v>942</v>
      </c>
      <c r="N451" s="1" t="s">
        <v>725</v>
      </c>
      <c r="Q451" s="1" t="s">
        <v>724</v>
      </c>
      <c r="S451" s="1" t="s">
        <v>1905</v>
      </c>
    </row>
    <row r="452" spans="1:19" x14ac:dyDescent="0.25">
      <c r="A452" s="1" t="s">
        <v>308</v>
      </c>
      <c r="B452" s="1" t="s">
        <v>308</v>
      </c>
      <c r="C452" s="1">
        <v>1</v>
      </c>
      <c r="D452" s="1">
        <v>2</v>
      </c>
      <c r="E452" s="1" t="s">
        <v>1944</v>
      </c>
      <c r="F452" s="1" t="s">
        <v>729</v>
      </c>
      <c r="G452" s="1" t="s">
        <v>1959</v>
      </c>
      <c r="H452" s="1" t="str">
        <f t="shared" si="7"/>
        <v>prc_hicp_midx_CP09541</v>
      </c>
      <c r="I452" s="1" t="s">
        <v>728</v>
      </c>
      <c r="K452" s="1" t="s">
        <v>1940</v>
      </c>
      <c r="L452" t="s">
        <v>941</v>
      </c>
      <c r="M452" s="1" t="s">
        <v>940</v>
      </c>
      <c r="N452" s="1" t="s">
        <v>725</v>
      </c>
      <c r="Q452" s="1" t="s">
        <v>724</v>
      </c>
      <c r="S452" s="1" t="s">
        <v>1905</v>
      </c>
    </row>
    <row r="453" spans="1:19" x14ac:dyDescent="0.25">
      <c r="A453" s="1" t="s">
        <v>308</v>
      </c>
      <c r="B453" s="1" t="s">
        <v>308</v>
      </c>
      <c r="C453" s="1">
        <v>1</v>
      </c>
      <c r="D453" s="1">
        <v>2</v>
      </c>
      <c r="E453" s="1" t="s">
        <v>1944</v>
      </c>
      <c r="F453" s="1" t="s">
        <v>729</v>
      </c>
      <c r="G453" s="1" t="s">
        <v>1959</v>
      </c>
      <c r="H453" s="1" t="str">
        <f t="shared" si="7"/>
        <v>prc_hicp_midx_CP09549</v>
      </c>
      <c r="I453" s="1" t="s">
        <v>728</v>
      </c>
      <c r="K453" s="1" t="s">
        <v>1940</v>
      </c>
      <c r="L453" t="s">
        <v>939</v>
      </c>
      <c r="M453" s="1" t="s">
        <v>938</v>
      </c>
      <c r="N453" s="1" t="s">
        <v>725</v>
      </c>
      <c r="Q453" s="1" t="s">
        <v>724</v>
      </c>
      <c r="S453" s="1" t="s">
        <v>1905</v>
      </c>
    </row>
    <row r="454" spans="1:19" x14ac:dyDescent="0.25">
      <c r="A454" s="1" t="s">
        <v>308</v>
      </c>
      <c r="B454" s="1" t="s">
        <v>308</v>
      </c>
      <c r="C454" s="1">
        <v>1</v>
      </c>
      <c r="D454" s="1">
        <v>2</v>
      </c>
      <c r="E454" s="1" t="s">
        <v>1944</v>
      </c>
      <c r="F454" s="1" t="s">
        <v>729</v>
      </c>
      <c r="G454" s="1" t="s">
        <v>1959</v>
      </c>
      <c r="H454" s="1" t="str">
        <f t="shared" si="7"/>
        <v>prc_hicp_midx_CP096</v>
      </c>
      <c r="I454" s="1" t="s">
        <v>728</v>
      </c>
      <c r="K454" s="1" t="s">
        <v>1940</v>
      </c>
      <c r="L454" t="s">
        <v>937</v>
      </c>
      <c r="M454" s="1" t="s">
        <v>936</v>
      </c>
      <c r="N454" s="1" t="s">
        <v>725</v>
      </c>
      <c r="Q454" s="1" t="s">
        <v>724</v>
      </c>
      <c r="S454" s="1" t="s">
        <v>1905</v>
      </c>
    </row>
    <row r="455" spans="1:19" x14ac:dyDescent="0.25">
      <c r="A455" s="1" t="s">
        <v>308</v>
      </c>
      <c r="B455" s="1" t="s">
        <v>308</v>
      </c>
      <c r="C455" s="1">
        <v>1</v>
      </c>
      <c r="D455" s="1">
        <v>2</v>
      </c>
      <c r="E455" s="1" t="s">
        <v>1944</v>
      </c>
      <c r="F455" s="1" t="s">
        <v>729</v>
      </c>
      <c r="G455" s="1" t="s">
        <v>1959</v>
      </c>
      <c r="H455" s="1" t="str">
        <f t="shared" si="7"/>
        <v>prc_hicp_midx_CP09601</v>
      </c>
      <c r="I455" s="1" t="s">
        <v>728</v>
      </c>
      <c r="K455" s="1" t="s">
        <v>1940</v>
      </c>
      <c r="L455" t="s">
        <v>935</v>
      </c>
      <c r="M455" s="1" t="s">
        <v>934</v>
      </c>
      <c r="N455" s="1" t="s">
        <v>725</v>
      </c>
      <c r="Q455" s="1" t="s">
        <v>724</v>
      </c>
      <c r="S455" s="1" t="s">
        <v>1905</v>
      </c>
    </row>
    <row r="456" spans="1:19" x14ac:dyDescent="0.25">
      <c r="A456" s="1" t="s">
        <v>308</v>
      </c>
      <c r="B456" s="1" t="s">
        <v>308</v>
      </c>
      <c r="C456" s="1">
        <v>1</v>
      </c>
      <c r="D456" s="1">
        <v>2</v>
      </c>
      <c r="E456" s="1" t="s">
        <v>1944</v>
      </c>
      <c r="F456" s="1" t="s">
        <v>729</v>
      </c>
      <c r="G456" s="1" t="s">
        <v>1959</v>
      </c>
      <c r="H456" s="1" t="str">
        <f t="shared" si="7"/>
        <v>prc_hicp_midx_CP09602</v>
      </c>
      <c r="I456" s="1" t="s">
        <v>728</v>
      </c>
      <c r="K456" s="1" t="s">
        <v>1940</v>
      </c>
      <c r="L456" t="s">
        <v>933</v>
      </c>
      <c r="M456" s="1" t="s">
        <v>932</v>
      </c>
      <c r="N456" s="1" t="s">
        <v>725</v>
      </c>
      <c r="Q456" s="1" t="s">
        <v>724</v>
      </c>
      <c r="S456" s="1" t="s">
        <v>1905</v>
      </c>
    </row>
    <row r="457" spans="1:19" x14ac:dyDescent="0.25">
      <c r="A457" s="1" t="s">
        <v>308</v>
      </c>
      <c r="B457" s="1" t="s">
        <v>308</v>
      </c>
      <c r="C457" s="1">
        <v>1</v>
      </c>
      <c r="D457" s="1">
        <v>2</v>
      </c>
      <c r="E457" s="1" t="s">
        <v>1944</v>
      </c>
      <c r="F457" s="1" t="s">
        <v>729</v>
      </c>
      <c r="G457" s="1" t="s">
        <v>1959</v>
      </c>
      <c r="H457" s="1" t="str">
        <f t="shared" si="7"/>
        <v>prc_hicp_midx_CP10</v>
      </c>
      <c r="I457" s="1" t="s">
        <v>728</v>
      </c>
      <c r="K457" s="1" t="s">
        <v>1940</v>
      </c>
      <c r="L457" t="s">
        <v>931</v>
      </c>
      <c r="M457" s="1" t="s">
        <v>930</v>
      </c>
      <c r="N457" s="1" t="s">
        <v>725</v>
      </c>
      <c r="Q457" s="1" t="s">
        <v>724</v>
      </c>
      <c r="S457" s="1" t="s">
        <v>1905</v>
      </c>
    </row>
    <row r="458" spans="1:19" x14ac:dyDescent="0.25">
      <c r="A458" s="1" t="s">
        <v>308</v>
      </c>
      <c r="B458" s="1" t="s">
        <v>308</v>
      </c>
      <c r="C458" s="1">
        <v>1</v>
      </c>
      <c r="D458" s="1">
        <v>2</v>
      </c>
      <c r="E458" s="1" t="s">
        <v>1944</v>
      </c>
      <c r="F458" s="1" t="s">
        <v>729</v>
      </c>
      <c r="G458" s="1" t="s">
        <v>1959</v>
      </c>
      <c r="H458" s="1" t="str">
        <f t="shared" si="7"/>
        <v>prc_hicp_midx_CP101</v>
      </c>
      <c r="I458" s="1" t="s">
        <v>728</v>
      </c>
      <c r="K458" s="1" t="s">
        <v>1940</v>
      </c>
      <c r="L458" t="s">
        <v>929</v>
      </c>
      <c r="M458" s="1" t="s">
        <v>928</v>
      </c>
      <c r="N458" s="1" t="s">
        <v>725</v>
      </c>
      <c r="Q458" s="1" t="s">
        <v>724</v>
      </c>
      <c r="S458" s="1" t="s">
        <v>1905</v>
      </c>
    </row>
    <row r="459" spans="1:19" x14ac:dyDescent="0.25">
      <c r="A459" s="1" t="s">
        <v>308</v>
      </c>
      <c r="B459" s="1" t="s">
        <v>308</v>
      </c>
      <c r="C459" s="1">
        <v>1</v>
      </c>
      <c r="D459" s="1">
        <v>2</v>
      </c>
      <c r="E459" s="1" t="s">
        <v>1944</v>
      </c>
      <c r="F459" s="1" t="s">
        <v>729</v>
      </c>
      <c r="G459" s="1" t="s">
        <v>1959</v>
      </c>
      <c r="H459" s="1" t="str">
        <f t="shared" si="7"/>
        <v>prc_hicp_midx_CP10101</v>
      </c>
      <c r="I459" s="1" t="s">
        <v>728</v>
      </c>
      <c r="K459" s="1" t="s">
        <v>1940</v>
      </c>
      <c r="L459" t="s">
        <v>927</v>
      </c>
      <c r="M459" s="1" t="s">
        <v>926</v>
      </c>
      <c r="N459" s="1" t="s">
        <v>725</v>
      </c>
      <c r="Q459" s="1" t="s">
        <v>724</v>
      </c>
      <c r="S459" s="1" t="s">
        <v>1905</v>
      </c>
    </row>
    <row r="460" spans="1:19" x14ac:dyDescent="0.25">
      <c r="A460" s="1" t="s">
        <v>308</v>
      </c>
      <c r="B460" s="1" t="s">
        <v>308</v>
      </c>
      <c r="C460" s="1">
        <v>1</v>
      </c>
      <c r="D460" s="1">
        <v>2</v>
      </c>
      <c r="E460" s="1" t="s">
        <v>1944</v>
      </c>
      <c r="F460" s="1" t="s">
        <v>729</v>
      </c>
      <c r="G460" s="1" t="s">
        <v>1959</v>
      </c>
      <c r="H460" s="1" t="str">
        <f t="shared" si="7"/>
        <v>prc_hicp_midx_CP10102</v>
      </c>
      <c r="I460" s="1" t="s">
        <v>728</v>
      </c>
      <c r="K460" s="1" t="s">
        <v>1940</v>
      </c>
      <c r="L460" t="s">
        <v>925</v>
      </c>
      <c r="M460" s="1" t="s">
        <v>924</v>
      </c>
      <c r="N460" s="1" t="s">
        <v>725</v>
      </c>
      <c r="Q460" s="1" t="s">
        <v>724</v>
      </c>
      <c r="S460" s="1" t="s">
        <v>1905</v>
      </c>
    </row>
    <row r="461" spans="1:19" x14ac:dyDescent="0.25">
      <c r="A461" s="1" t="s">
        <v>308</v>
      </c>
      <c r="B461" s="1" t="s">
        <v>308</v>
      </c>
      <c r="C461" s="1">
        <v>1</v>
      </c>
      <c r="D461" s="1">
        <v>2</v>
      </c>
      <c r="E461" s="1" t="s">
        <v>1944</v>
      </c>
      <c r="F461" s="1" t="s">
        <v>729</v>
      </c>
      <c r="G461" s="1" t="s">
        <v>1959</v>
      </c>
      <c r="H461" s="1" t="str">
        <f t="shared" si="7"/>
        <v>prc_hicp_midx_CP102</v>
      </c>
      <c r="I461" s="1" t="s">
        <v>728</v>
      </c>
      <c r="K461" s="1" t="s">
        <v>1940</v>
      </c>
      <c r="L461" t="s">
        <v>923</v>
      </c>
      <c r="M461" s="1" t="s">
        <v>922</v>
      </c>
      <c r="N461" s="1" t="s">
        <v>725</v>
      </c>
      <c r="Q461" s="1" t="s">
        <v>724</v>
      </c>
      <c r="S461" s="1" t="s">
        <v>1905</v>
      </c>
    </row>
    <row r="462" spans="1:19" x14ac:dyDescent="0.25">
      <c r="A462" s="1" t="s">
        <v>308</v>
      </c>
      <c r="B462" s="1" t="s">
        <v>308</v>
      </c>
      <c r="C462" s="1">
        <v>1</v>
      </c>
      <c r="D462" s="1">
        <v>2</v>
      </c>
      <c r="E462" s="1" t="s">
        <v>1944</v>
      </c>
      <c r="F462" s="1" t="s">
        <v>729</v>
      </c>
      <c r="G462" s="1" t="s">
        <v>1959</v>
      </c>
      <c r="H462" s="1" t="str">
        <f t="shared" si="7"/>
        <v>prc_hicp_midx_CP103</v>
      </c>
      <c r="I462" s="1" t="s">
        <v>728</v>
      </c>
      <c r="K462" s="1" t="s">
        <v>1940</v>
      </c>
      <c r="L462" t="s">
        <v>921</v>
      </c>
      <c r="M462" s="1" t="s">
        <v>920</v>
      </c>
      <c r="N462" s="1" t="s">
        <v>725</v>
      </c>
      <c r="Q462" s="1" t="s">
        <v>724</v>
      </c>
      <c r="S462" s="1" t="s">
        <v>1905</v>
      </c>
    </row>
    <row r="463" spans="1:19" x14ac:dyDescent="0.25">
      <c r="A463" s="1" t="s">
        <v>308</v>
      </c>
      <c r="B463" s="1" t="s">
        <v>308</v>
      </c>
      <c r="C463" s="1">
        <v>1</v>
      </c>
      <c r="D463" s="1">
        <v>2</v>
      </c>
      <c r="E463" s="1" t="s">
        <v>1944</v>
      </c>
      <c r="F463" s="1" t="s">
        <v>729</v>
      </c>
      <c r="G463" s="1" t="s">
        <v>1959</v>
      </c>
      <c r="H463" s="1" t="str">
        <f t="shared" si="7"/>
        <v>prc_hicp_midx_CP104</v>
      </c>
      <c r="I463" s="1" t="s">
        <v>728</v>
      </c>
      <c r="K463" s="1" t="s">
        <v>1940</v>
      </c>
      <c r="L463" t="s">
        <v>919</v>
      </c>
      <c r="M463" s="1" t="s">
        <v>918</v>
      </c>
      <c r="N463" s="1" t="s">
        <v>725</v>
      </c>
      <c r="Q463" s="1" t="s">
        <v>724</v>
      </c>
      <c r="S463" s="1" t="s">
        <v>1905</v>
      </c>
    </row>
    <row r="464" spans="1:19" x14ac:dyDescent="0.25">
      <c r="A464" s="1" t="s">
        <v>308</v>
      </c>
      <c r="B464" s="1" t="s">
        <v>308</v>
      </c>
      <c r="C464" s="1">
        <v>1</v>
      </c>
      <c r="D464" s="1">
        <v>2</v>
      </c>
      <c r="E464" s="1" t="s">
        <v>1944</v>
      </c>
      <c r="F464" s="1" t="s">
        <v>729</v>
      </c>
      <c r="G464" s="1" t="s">
        <v>1959</v>
      </c>
      <c r="H464" s="1" t="str">
        <f t="shared" si="7"/>
        <v>prc_hicp_midx_CP105</v>
      </c>
      <c r="I464" s="1" t="s">
        <v>728</v>
      </c>
      <c r="K464" s="1" t="s">
        <v>1940</v>
      </c>
      <c r="L464" t="s">
        <v>917</v>
      </c>
      <c r="M464" s="1" t="s">
        <v>916</v>
      </c>
      <c r="N464" s="1" t="s">
        <v>725</v>
      </c>
      <c r="Q464" s="1" t="s">
        <v>724</v>
      </c>
      <c r="S464" s="1" t="s">
        <v>1905</v>
      </c>
    </row>
    <row r="465" spans="1:19" x14ac:dyDescent="0.25">
      <c r="A465" s="1" t="s">
        <v>308</v>
      </c>
      <c r="B465" s="1" t="s">
        <v>308</v>
      </c>
      <c r="C465" s="1">
        <v>1</v>
      </c>
      <c r="D465" s="1">
        <v>2</v>
      </c>
      <c r="E465" s="1" t="s">
        <v>1944</v>
      </c>
      <c r="F465" s="1" t="s">
        <v>729</v>
      </c>
      <c r="G465" s="1" t="s">
        <v>1959</v>
      </c>
      <c r="H465" s="1" t="str">
        <f t="shared" si="7"/>
        <v>prc_hicp_midx_CP11</v>
      </c>
      <c r="I465" s="1" t="s">
        <v>728</v>
      </c>
      <c r="K465" s="1" t="s">
        <v>1940</v>
      </c>
      <c r="L465" t="s">
        <v>915</v>
      </c>
      <c r="M465" s="1" t="s">
        <v>914</v>
      </c>
      <c r="N465" s="1" t="s">
        <v>725</v>
      </c>
      <c r="Q465" s="1" t="s">
        <v>724</v>
      </c>
      <c r="S465" s="1" t="s">
        <v>1905</v>
      </c>
    </row>
    <row r="466" spans="1:19" x14ac:dyDescent="0.25">
      <c r="A466" s="1" t="s">
        <v>308</v>
      </c>
      <c r="B466" s="1" t="s">
        <v>308</v>
      </c>
      <c r="C466" s="1">
        <v>1</v>
      </c>
      <c r="D466" s="1">
        <v>2</v>
      </c>
      <c r="E466" s="1" t="s">
        <v>1944</v>
      </c>
      <c r="F466" s="1" t="s">
        <v>729</v>
      </c>
      <c r="G466" s="1" t="s">
        <v>1959</v>
      </c>
      <c r="H466" s="1" t="str">
        <f t="shared" si="7"/>
        <v>prc_hicp_midx_CP111</v>
      </c>
      <c r="I466" s="1" t="s">
        <v>728</v>
      </c>
      <c r="K466" s="1" t="s">
        <v>1940</v>
      </c>
      <c r="L466" t="s">
        <v>913</v>
      </c>
      <c r="M466" s="1" t="s">
        <v>912</v>
      </c>
      <c r="N466" s="1" t="s">
        <v>725</v>
      </c>
      <c r="Q466" s="1" t="s">
        <v>724</v>
      </c>
      <c r="S466" s="1" t="s">
        <v>1905</v>
      </c>
    </row>
    <row r="467" spans="1:19" x14ac:dyDescent="0.25">
      <c r="A467" s="1" t="s">
        <v>308</v>
      </c>
      <c r="B467" s="1" t="s">
        <v>308</v>
      </c>
      <c r="C467" s="1">
        <v>1</v>
      </c>
      <c r="D467" s="1">
        <v>2</v>
      </c>
      <c r="E467" s="1" t="s">
        <v>1944</v>
      </c>
      <c r="F467" s="1" t="s">
        <v>729</v>
      </c>
      <c r="G467" s="1" t="s">
        <v>1959</v>
      </c>
      <c r="H467" s="1" t="str">
        <f t="shared" si="7"/>
        <v>prc_hicp_midx_CP1111</v>
      </c>
      <c r="I467" s="1" t="s">
        <v>728</v>
      </c>
      <c r="K467" s="1" t="s">
        <v>1940</v>
      </c>
      <c r="L467" t="s">
        <v>911</v>
      </c>
      <c r="M467" s="1" t="s">
        <v>910</v>
      </c>
      <c r="N467" s="1" t="s">
        <v>725</v>
      </c>
      <c r="Q467" s="1" t="s">
        <v>724</v>
      </c>
      <c r="S467" s="1" t="s">
        <v>1905</v>
      </c>
    </row>
    <row r="468" spans="1:19" x14ac:dyDescent="0.25">
      <c r="A468" s="1" t="s">
        <v>308</v>
      </c>
      <c r="B468" s="1" t="s">
        <v>308</v>
      </c>
      <c r="C468" s="1">
        <v>1</v>
      </c>
      <c r="D468" s="1">
        <v>2</v>
      </c>
      <c r="E468" s="1" t="s">
        <v>1944</v>
      </c>
      <c r="F468" s="1" t="s">
        <v>729</v>
      </c>
      <c r="G468" s="1" t="s">
        <v>1959</v>
      </c>
      <c r="H468" s="1" t="str">
        <f t="shared" si="7"/>
        <v>prc_hicp_midx_CP11111</v>
      </c>
      <c r="I468" s="1" t="s">
        <v>728</v>
      </c>
      <c r="K468" s="1" t="s">
        <v>1940</v>
      </c>
      <c r="L468" t="s">
        <v>909</v>
      </c>
      <c r="M468" s="1" t="s">
        <v>908</v>
      </c>
      <c r="N468" s="1" t="s">
        <v>725</v>
      </c>
      <c r="Q468" s="1" t="s">
        <v>724</v>
      </c>
      <c r="S468" s="1" t="s">
        <v>1905</v>
      </c>
    </row>
    <row r="469" spans="1:19" x14ac:dyDescent="0.25">
      <c r="A469" s="1" t="s">
        <v>308</v>
      </c>
      <c r="B469" s="1" t="s">
        <v>308</v>
      </c>
      <c r="C469" s="1">
        <v>1</v>
      </c>
      <c r="D469" s="1">
        <v>2</v>
      </c>
      <c r="E469" s="1" t="s">
        <v>1944</v>
      </c>
      <c r="F469" s="1" t="s">
        <v>729</v>
      </c>
      <c r="G469" s="1" t="s">
        <v>1959</v>
      </c>
      <c r="H469" s="1" t="str">
        <f t="shared" si="7"/>
        <v>prc_hicp_midx_CP11112</v>
      </c>
      <c r="I469" s="1" t="s">
        <v>728</v>
      </c>
      <c r="K469" s="1" t="s">
        <v>1940</v>
      </c>
      <c r="L469" t="s">
        <v>907</v>
      </c>
      <c r="M469" s="1" t="s">
        <v>906</v>
      </c>
      <c r="N469" s="1" t="s">
        <v>725</v>
      </c>
      <c r="Q469" s="1" t="s">
        <v>724</v>
      </c>
      <c r="S469" s="1" t="s">
        <v>1905</v>
      </c>
    </row>
    <row r="470" spans="1:19" x14ac:dyDescent="0.25">
      <c r="A470" s="1" t="s">
        <v>308</v>
      </c>
      <c r="B470" s="1" t="s">
        <v>308</v>
      </c>
      <c r="C470" s="1">
        <v>1</v>
      </c>
      <c r="D470" s="1">
        <v>2</v>
      </c>
      <c r="E470" s="1" t="s">
        <v>1944</v>
      </c>
      <c r="F470" s="1" t="s">
        <v>729</v>
      </c>
      <c r="G470" s="1" t="s">
        <v>1959</v>
      </c>
      <c r="H470" s="1" t="str">
        <f t="shared" si="7"/>
        <v>prc_hicp_midx_CP1112</v>
      </c>
      <c r="I470" s="1" t="s">
        <v>728</v>
      </c>
      <c r="K470" s="1" t="s">
        <v>1940</v>
      </c>
      <c r="L470" t="s">
        <v>905</v>
      </c>
      <c r="M470" s="1" t="s">
        <v>904</v>
      </c>
      <c r="N470" s="1" t="s">
        <v>725</v>
      </c>
      <c r="Q470" s="1" t="s">
        <v>724</v>
      </c>
      <c r="S470" s="1" t="s">
        <v>1905</v>
      </c>
    </row>
    <row r="471" spans="1:19" x14ac:dyDescent="0.25">
      <c r="A471" s="1" t="s">
        <v>308</v>
      </c>
      <c r="B471" s="1" t="s">
        <v>308</v>
      </c>
      <c r="C471" s="1">
        <v>1</v>
      </c>
      <c r="D471" s="1">
        <v>2</v>
      </c>
      <c r="E471" s="1" t="s">
        <v>1944</v>
      </c>
      <c r="F471" s="1" t="s">
        <v>729</v>
      </c>
      <c r="G471" s="1" t="s">
        <v>1959</v>
      </c>
      <c r="H471" s="1" t="str">
        <f t="shared" si="7"/>
        <v>prc_hicp_midx_CP112</v>
      </c>
      <c r="I471" s="1" t="s">
        <v>728</v>
      </c>
      <c r="K471" s="1" t="s">
        <v>1940</v>
      </c>
      <c r="L471" t="s">
        <v>903</v>
      </c>
      <c r="M471" s="1" t="s">
        <v>902</v>
      </c>
      <c r="N471" s="1" t="s">
        <v>725</v>
      </c>
      <c r="Q471" s="1" t="s">
        <v>724</v>
      </c>
      <c r="S471" s="1" t="s">
        <v>1905</v>
      </c>
    </row>
    <row r="472" spans="1:19" x14ac:dyDescent="0.25">
      <c r="A472" s="1" t="s">
        <v>308</v>
      </c>
      <c r="B472" s="1" t="s">
        <v>308</v>
      </c>
      <c r="C472" s="1">
        <v>1</v>
      </c>
      <c r="D472" s="1">
        <v>2</v>
      </c>
      <c r="E472" s="1" t="s">
        <v>1944</v>
      </c>
      <c r="F472" s="1" t="s">
        <v>729</v>
      </c>
      <c r="G472" s="1" t="s">
        <v>1959</v>
      </c>
      <c r="H472" s="1" t="str">
        <f t="shared" si="7"/>
        <v>prc_hicp_midx_CP11201</v>
      </c>
      <c r="I472" s="1" t="s">
        <v>728</v>
      </c>
      <c r="K472" s="1" t="s">
        <v>1940</v>
      </c>
      <c r="L472" t="s">
        <v>901</v>
      </c>
      <c r="M472" s="1" t="s">
        <v>900</v>
      </c>
      <c r="N472" s="1" t="s">
        <v>725</v>
      </c>
      <c r="Q472" s="1" t="s">
        <v>724</v>
      </c>
      <c r="S472" s="1" t="s">
        <v>1905</v>
      </c>
    </row>
    <row r="473" spans="1:19" x14ac:dyDescent="0.25">
      <c r="A473" s="1" t="s">
        <v>308</v>
      </c>
      <c r="B473" s="1" t="s">
        <v>308</v>
      </c>
      <c r="C473" s="1">
        <v>1</v>
      </c>
      <c r="D473" s="1">
        <v>2</v>
      </c>
      <c r="E473" s="1" t="s">
        <v>1944</v>
      </c>
      <c r="F473" s="1" t="s">
        <v>729</v>
      </c>
      <c r="G473" s="1" t="s">
        <v>1959</v>
      </c>
      <c r="H473" s="1" t="str">
        <f t="shared" si="7"/>
        <v>prc_hicp_midx_CP11202</v>
      </c>
      <c r="I473" s="1" t="s">
        <v>728</v>
      </c>
      <c r="K473" s="1" t="s">
        <v>1940</v>
      </c>
      <c r="L473" t="s">
        <v>899</v>
      </c>
      <c r="M473" s="1" t="s">
        <v>898</v>
      </c>
      <c r="N473" s="1" t="s">
        <v>725</v>
      </c>
      <c r="Q473" s="1" t="s">
        <v>724</v>
      </c>
      <c r="S473" s="1" t="s">
        <v>1905</v>
      </c>
    </row>
    <row r="474" spans="1:19" x14ac:dyDescent="0.25">
      <c r="A474" s="1" t="s">
        <v>308</v>
      </c>
      <c r="B474" s="1" t="s">
        <v>308</v>
      </c>
      <c r="C474" s="1">
        <v>1</v>
      </c>
      <c r="D474" s="1">
        <v>2</v>
      </c>
      <c r="E474" s="1" t="s">
        <v>1944</v>
      </c>
      <c r="F474" s="1" t="s">
        <v>729</v>
      </c>
      <c r="G474" s="1" t="s">
        <v>1959</v>
      </c>
      <c r="H474" s="1" t="str">
        <f t="shared" si="7"/>
        <v>prc_hicp_midx_CP11203</v>
      </c>
      <c r="I474" s="1" t="s">
        <v>728</v>
      </c>
      <c r="K474" s="1" t="s">
        <v>1940</v>
      </c>
      <c r="L474" t="s">
        <v>897</v>
      </c>
      <c r="M474" s="1" t="s">
        <v>896</v>
      </c>
      <c r="N474" s="1" t="s">
        <v>725</v>
      </c>
      <c r="Q474" s="1" t="s">
        <v>724</v>
      </c>
      <c r="S474" s="1" t="s">
        <v>1905</v>
      </c>
    </row>
    <row r="475" spans="1:19" x14ac:dyDescent="0.25">
      <c r="A475" s="1" t="s">
        <v>308</v>
      </c>
      <c r="B475" s="1" t="s">
        <v>308</v>
      </c>
      <c r="C475" s="1">
        <v>1</v>
      </c>
      <c r="D475" s="1">
        <v>2</v>
      </c>
      <c r="E475" s="1" t="s">
        <v>1944</v>
      </c>
      <c r="F475" s="1" t="s">
        <v>729</v>
      </c>
      <c r="G475" s="1" t="s">
        <v>1959</v>
      </c>
      <c r="H475" s="1" t="str">
        <f t="shared" si="7"/>
        <v>prc_hicp_midx_CP12</v>
      </c>
      <c r="I475" s="1" t="s">
        <v>728</v>
      </c>
      <c r="K475" s="1" t="s">
        <v>1940</v>
      </c>
      <c r="L475" t="s">
        <v>895</v>
      </c>
      <c r="M475" s="1" t="s">
        <v>894</v>
      </c>
      <c r="N475" s="1" t="s">
        <v>725</v>
      </c>
      <c r="Q475" s="1" t="s">
        <v>724</v>
      </c>
      <c r="S475" s="1" t="s">
        <v>1905</v>
      </c>
    </row>
    <row r="476" spans="1:19" x14ac:dyDescent="0.25">
      <c r="A476" s="1" t="s">
        <v>308</v>
      </c>
      <c r="B476" s="1" t="s">
        <v>308</v>
      </c>
      <c r="C476" s="1">
        <v>1</v>
      </c>
      <c r="D476" s="1">
        <v>2</v>
      </c>
      <c r="E476" s="1" t="s">
        <v>1944</v>
      </c>
      <c r="F476" s="1" t="s">
        <v>729</v>
      </c>
      <c r="G476" s="1" t="s">
        <v>1959</v>
      </c>
      <c r="H476" s="1" t="str">
        <f t="shared" si="7"/>
        <v>prc_hicp_midx_CP121</v>
      </c>
      <c r="I476" s="1" t="s">
        <v>728</v>
      </c>
      <c r="K476" s="1" t="s">
        <v>1940</v>
      </c>
      <c r="L476" t="s">
        <v>893</v>
      </c>
      <c r="M476" s="1" t="s">
        <v>892</v>
      </c>
      <c r="N476" s="1" t="s">
        <v>725</v>
      </c>
      <c r="Q476" s="1" t="s">
        <v>724</v>
      </c>
      <c r="S476" s="1" t="s">
        <v>1905</v>
      </c>
    </row>
    <row r="477" spans="1:19" x14ac:dyDescent="0.25">
      <c r="A477" s="1" t="s">
        <v>308</v>
      </c>
      <c r="B477" s="1" t="s">
        <v>308</v>
      </c>
      <c r="C477" s="1">
        <v>1</v>
      </c>
      <c r="D477" s="1">
        <v>2</v>
      </c>
      <c r="E477" s="1" t="s">
        <v>1944</v>
      </c>
      <c r="F477" s="1" t="s">
        <v>729</v>
      </c>
      <c r="G477" s="1" t="s">
        <v>1959</v>
      </c>
      <c r="H477" s="1" t="str">
        <f t="shared" si="7"/>
        <v>prc_hicp_midx_CP1211</v>
      </c>
      <c r="I477" s="1" t="s">
        <v>728</v>
      </c>
      <c r="K477" s="1" t="s">
        <v>1940</v>
      </c>
      <c r="L477" t="s">
        <v>891</v>
      </c>
      <c r="M477" s="1" t="s">
        <v>890</v>
      </c>
      <c r="N477" s="1" t="s">
        <v>725</v>
      </c>
      <c r="Q477" s="1" t="s">
        <v>724</v>
      </c>
      <c r="S477" s="1" t="s">
        <v>1905</v>
      </c>
    </row>
    <row r="478" spans="1:19" x14ac:dyDescent="0.25">
      <c r="A478" s="1" t="s">
        <v>308</v>
      </c>
      <c r="B478" s="1" t="s">
        <v>308</v>
      </c>
      <c r="C478" s="1">
        <v>1</v>
      </c>
      <c r="D478" s="1">
        <v>2</v>
      </c>
      <c r="E478" s="1" t="s">
        <v>1944</v>
      </c>
      <c r="F478" s="1" t="s">
        <v>729</v>
      </c>
      <c r="G478" s="1" t="s">
        <v>1959</v>
      </c>
      <c r="H478" s="1" t="str">
        <f t="shared" si="7"/>
        <v>prc_hicp_midx_CP12111</v>
      </c>
      <c r="I478" s="1" t="s">
        <v>728</v>
      </c>
      <c r="K478" s="1" t="s">
        <v>1940</v>
      </c>
      <c r="L478" t="s">
        <v>889</v>
      </c>
      <c r="M478" s="1" t="s">
        <v>888</v>
      </c>
      <c r="N478" s="1" t="s">
        <v>725</v>
      </c>
      <c r="Q478" s="1" t="s">
        <v>724</v>
      </c>
      <c r="S478" s="1" t="s">
        <v>1905</v>
      </c>
    </row>
    <row r="479" spans="1:19" x14ac:dyDescent="0.25">
      <c r="A479" s="1" t="s">
        <v>308</v>
      </c>
      <c r="B479" s="1" t="s">
        <v>308</v>
      </c>
      <c r="C479" s="1">
        <v>1</v>
      </c>
      <c r="D479" s="1">
        <v>2</v>
      </c>
      <c r="E479" s="1" t="s">
        <v>1944</v>
      </c>
      <c r="F479" s="1" t="s">
        <v>729</v>
      </c>
      <c r="G479" s="1" t="s">
        <v>1959</v>
      </c>
      <c r="H479" s="1" t="str">
        <f t="shared" si="7"/>
        <v>prc_hicp_midx_CP12112</v>
      </c>
      <c r="I479" s="1" t="s">
        <v>728</v>
      </c>
      <c r="K479" s="1" t="s">
        <v>1940</v>
      </c>
      <c r="L479" t="s">
        <v>887</v>
      </c>
      <c r="M479" s="1" t="s">
        <v>886</v>
      </c>
      <c r="N479" s="1" t="s">
        <v>725</v>
      </c>
      <c r="Q479" s="1" t="s">
        <v>724</v>
      </c>
      <c r="S479" s="1" t="s">
        <v>1905</v>
      </c>
    </row>
    <row r="480" spans="1:19" x14ac:dyDescent="0.25">
      <c r="A480" s="1" t="s">
        <v>308</v>
      </c>
      <c r="B480" s="1" t="s">
        <v>308</v>
      </c>
      <c r="C480" s="1">
        <v>1</v>
      </c>
      <c r="D480" s="1">
        <v>2</v>
      </c>
      <c r="E480" s="1" t="s">
        <v>1944</v>
      </c>
      <c r="F480" s="1" t="s">
        <v>729</v>
      </c>
      <c r="G480" s="1" t="s">
        <v>1959</v>
      </c>
      <c r="H480" s="1" t="str">
        <f t="shared" si="7"/>
        <v>prc_hicp_midx_CP12113</v>
      </c>
      <c r="I480" s="1" t="s">
        <v>728</v>
      </c>
      <c r="K480" s="1" t="s">
        <v>1940</v>
      </c>
      <c r="L480" t="s">
        <v>885</v>
      </c>
      <c r="M480" s="1" t="s">
        <v>884</v>
      </c>
      <c r="N480" s="1" t="s">
        <v>725</v>
      </c>
      <c r="Q480" s="1" t="s">
        <v>724</v>
      </c>
      <c r="S480" s="1" t="s">
        <v>1905</v>
      </c>
    </row>
    <row r="481" spans="1:19" x14ac:dyDescent="0.25">
      <c r="A481" s="1" t="s">
        <v>308</v>
      </c>
      <c r="B481" s="1" t="s">
        <v>308</v>
      </c>
      <c r="C481" s="1">
        <v>1</v>
      </c>
      <c r="D481" s="1">
        <v>2</v>
      </c>
      <c r="E481" s="1" t="s">
        <v>1944</v>
      </c>
      <c r="F481" s="1" t="s">
        <v>729</v>
      </c>
      <c r="G481" s="1" t="s">
        <v>1959</v>
      </c>
      <c r="H481" s="1" t="str">
        <f t="shared" si="7"/>
        <v>prc_hicp_midx_CP1212</v>
      </c>
      <c r="I481" s="1" t="s">
        <v>728</v>
      </c>
      <c r="K481" s="1" t="s">
        <v>1940</v>
      </c>
      <c r="L481" t="s">
        <v>883</v>
      </c>
      <c r="M481" s="1" t="s">
        <v>882</v>
      </c>
      <c r="N481" s="1" t="s">
        <v>725</v>
      </c>
      <c r="Q481" s="1" t="s">
        <v>724</v>
      </c>
      <c r="S481" s="1" t="s">
        <v>1905</v>
      </c>
    </row>
    <row r="482" spans="1:19" x14ac:dyDescent="0.25">
      <c r="A482" s="1" t="s">
        <v>308</v>
      </c>
      <c r="B482" s="1" t="s">
        <v>308</v>
      </c>
      <c r="C482" s="1">
        <v>1</v>
      </c>
      <c r="D482" s="1">
        <v>2</v>
      </c>
      <c r="E482" s="1" t="s">
        <v>1944</v>
      </c>
      <c r="F482" s="1" t="s">
        <v>729</v>
      </c>
      <c r="G482" s="1" t="s">
        <v>1959</v>
      </c>
      <c r="H482" s="1" t="str">
        <f t="shared" si="7"/>
        <v>prc_hicp_midx_CP1212_1213</v>
      </c>
      <c r="I482" s="1" t="s">
        <v>728</v>
      </c>
      <c r="K482" s="1" t="s">
        <v>1940</v>
      </c>
      <c r="L482" t="s">
        <v>881</v>
      </c>
      <c r="M482" s="1" t="s">
        <v>880</v>
      </c>
      <c r="N482" s="1" t="s">
        <v>725</v>
      </c>
      <c r="Q482" s="1" t="s">
        <v>724</v>
      </c>
      <c r="S482" s="1" t="s">
        <v>1905</v>
      </c>
    </row>
    <row r="483" spans="1:19" x14ac:dyDescent="0.25">
      <c r="A483" s="1" t="s">
        <v>308</v>
      </c>
      <c r="B483" s="1" t="s">
        <v>308</v>
      </c>
      <c r="C483" s="1">
        <v>1</v>
      </c>
      <c r="D483" s="1">
        <v>2</v>
      </c>
      <c r="E483" s="1" t="s">
        <v>1944</v>
      </c>
      <c r="F483" s="1" t="s">
        <v>729</v>
      </c>
      <c r="G483" s="1" t="s">
        <v>1959</v>
      </c>
      <c r="H483" s="1" t="str">
        <f t="shared" si="7"/>
        <v>prc_hicp_midx_CP12121</v>
      </c>
      <c r="I483" s="1" t="s">
        <v>728</v>
      </c>
      <c r="K483" s="1" t="s">
        <v>1940</v>
      </c>
      <c r="L483" t="s">
        <v>879</v>
      </c>
      <c r="M483" s="1" t="s">
        <v>878</v>
      </c>
      <c r="N483" s="1" t="s">
        <v>725</v>
      </c>
      <c r="Q483" s="1" t="s">
        <v>724</v>
      </c>
      <c r="S483" s="1" t="s">
        <v>1905</v>
      </c>
    </row>
    <row r="484" spans="1:19" x14ac:dyDescent="0.25">
      <c r="A484" s="1" t="s">
        <v>308</v>
      </c>
      <c r="B484" s="1" t="s">
        <v>308</v>
      </c>
      <c r="C484" s="1">
        <v>1</v>
      </c>
      <c r="D484" s="1">
        <v>2</v>
      </c>
      <c r="E484" s="1" t="s">
        <v>1944</v>
      </c>
      <c r="F484" s="1" t="s">
        <v>729</v>
      </c>
      <c r="G484" s="1" t="s">
        <v>1959</v>
      </c>
      <c r="H484" s="1" t="str">
        <f t="shared" si="7"/>
        <v>prc_hicp_midx_CP12122</v>
      </c>
      <c r="I484" s="1" t="s">
        <v>728</v>
      </c>
      <c r="K484" s="1" t="s">
        <v>1940</v>
      </c>
      <c r="L484" t="s">
        <v>877</v>
      </c>
      <c r="M484" s="1" t="s">
        <v>876</v>
      </c>
      <c r="N484" s="1" t="s">
        <v>725</v>
      </c>
      <c r="Q484" s="1" t="s">
        <v>724</v>
      </c>
      <c r="S484" s="1" t="s">
        <v>1905</v>
      </c>
    </row>
    <row r="485" spans="1:19" x14ac:dyDescent="0.25">
      <c r="A485" s="1" t="s">
        <v>308</v>
      </c>
      <c r="B485" s="1" t="s">
        <v>308</v>
      </c>
      <c r="C485" s="1">
        <v>1</v>
      </c>
      <c r="D485" s="1">
        <v>2</v>
      </c>
      <c r="E485" s="1" t="s">
        <v>1944</v>
      </c>
      <c r="F485" s="1" t="s">
        <v>729</v>
      </c>
      <c r="G485" s="1" t="s">
        <v>1959</v>
      </c>
      <c r="H485" s="1" t="str">
        <f t="shared" si="7"/>
        <v>prc_hicp_midx_CP1213</v>
      </c>
      <c r="I485" s="1" t="s">
        <v>728</v>
      </c>
      <c r="K485" s="1" t="s">
        <v>1940</v>
      </c>
      <c r="L485" t="s">
        <v>875</v>
      </c>
      <c r="M485" s="1" t="s">
        <v>874</v>
      </c>
      <c r="N485" s="1" t="s">
        <v>725</v>
      </c>
      <c r="Q485" s="1" t="s">
        <v>724</v>
      </c>
      <c r="S485" s="1" t="s">
        <v>1905</v>
      </c>
    </row>
    <row r="486" spans="1:19" x14ac:dyDescent="0.25">
      <c r="A486" s="1" t="s">
        <v>308</v>
      </c>
      <c r="B486" s="1" t="s">
        <v>308</v>
      </c>
      <c r="C486" s="1">
        <v>1</v>
      </c>
      <c r="D486" s="1">
        <v>2</v>
      </c>
      <c r="E486" s="1" t="s">
        <v>1944</v>
      </c>
      <c r="F486" s="1" t="s">
        <v>729</v>
      </c>
      <c r="G486" s="1" t="s">
        <v>1959</v>
      </c>
      <c r="H486" s="1" t="str">
        <f t="shared" si="7"/>
        <v>prc_hicp_midx_CP12131</v>
      </c>
      <c r="I486" s="1" t="s">
        <v>728</v>
      </c>
      <c r="K486" s="1" t="s">
        <v>1940</v>
      </c>
      <c r="L486" t="s">
        <v>873</v>
      </c>
      <c r="M486" s="1" t="s">
        <v>872</v>
      </c>
      <c r="N486" s="1" t="s">
        <v>725</v>
      </c>
      <c r="Q486" s="1" t="s">
        <v>724</v>
      </c>
      <c r="S486" s="1" t="s">
        <v>1905</v>
      </c>
    </row>
    <row r="487" spans="1:19" x14ac:dyDescent="0.25">
      <c r="A487" s="1" t="s">
        <v>308</v>
      </c>
      <c r="B487" s="1" t="s">
        <v>308</v>
      </c>
      <c r="C487" s="1">
        <v>1</v>
      </c>
      <c r="D487" s="1">
        <v>2</v>
      </c>
      <c r="E487" s="1" t="s">
        <v>1944</v>
      </c>
      <c r="F487" s="1" t="s">
        <v>729</v>
      </c>
      <c r="G487" s="1" t="s">
        <v>1959</v>
      </c>
      <c r="H487" s="1" t="str">
        <f t="shared" si="7"/>
        <v>prc_hicp_midx_CP12132</v>
      </c>
      <c r="I487" s="1" t="s">
        <v>728</v>
      </c>
      <c r="K487" s="1" t="s">
        <v>1940</v>
      </c>
      <c r="L487" t="s">
        <v>871</v>
      </c>
      <c r="M487" s="1" t="s">
        <v>870</v>
      </c>
      <c r="N487" s="1" t="s">
        <v>725</v>
      </c>
      <c r="Q487" s="1" t="s">
        <v>724</v>
      </c>
      <c r="S487" s="1" t="s">
        <v>1905</v>
      </c>
    </row>
    <row r="488" spans="1:19" x14ac:dyDescent="0.25">
      <c r="A488" s="1" t="s">
        <v>308</v>
      </c>
      <c r="B488" s="1" t="s">
        <v>308</v>
      </c>
      <c r="C488" s="1">
        <v>1</v>
      </c>
      <c r="D488" s="1">
        <v>2</v>
      </c>
      <c r="E488" s="1" t="s">
        <v>1944</v>
      </c>
      <c r="F488" s="1" t="s">
        <v>729</v>
      </c>
      <c r="G488" s="1" t="s">
        <v>1959</v>
      </c>
      <c r="H488" s="1" t="str">
        <f t="shared" si="7"/>
        <v>prc_hicp_midx_CP123</v>
      </c>
      <c r="I488" s="1" t="s">
        <v>728</v>
      </c>
      <c r="K488" s="1" t="s">
        <v>1940</v>
      </c>
      <c r="L488" t="s">
        <v>869</v>
      </c>
      <c r="M488" s="1" t="s">
        <v>868</v>
      </c>
      <c r="N488" s="1" t="s">
        <v>725</v>
      </c>
      <c r="Q488" s="1" t="s">
        <v>724</v>
      </c>
      <c r="S488" s="1" t="s">
        <v>1905</v>
      </c>
    </row>
    <row r="489" spans="1:19" x14ac:dyDescent="0.25">
      <c r="A489" s="1" t="s">
        <v>308</v>
      </c>
      <c r="B489" s="1" t="s">
        <v>308</v>
      </c>
      <c r="C489" s="1">
        <v>1</v>
      </c>
      <c r="D489" s="1">
        <v>2</v>
      </c>
      <c r="E489" s="1" t="s">
        <v>1944</v>
      </c>
      <c r="F489" s="1" t="s">
        <v>729</v>
      </c>
      <c r="G489" s="1" t="s">
        <v>1959</v>
      </c>
      <c r="H489" s="1" t="str">
        <f t="shared" si="7"/>
        <v>prc_hicp_midx_CP1231</v>
      </c>
      <c r="I489" s="1" t="s">
        <v>728</v>
      </c>
      <c r="K489" s="1" t="s">
        <v>1940</v>
      </c>
      <c r="L489" t="s">
        <v>867</v>
      </c>
      <c r="M489" s="1" t="s">
        <v>866</v>
      </c>
      <c r="N489" s="1" t="s">
        <v>725</v>
      </c>
      <c r="Q489" s="1" t="s">
        <v>724</v>
      </c>
      <c r="S489" s="1" t="s">
        <v>1905</v>
      </c>
    </row>
    <row r="490" spans="1:19" x14ac:dyDescent="0.25">
      <c r="A490" s="1" t="s">
        <v>308</v>
      </c>
      <c r="B490" s="1" t="s">
        <v>308</v>
      </c>
      <c r="C490" s="1">
        <v>1</v>
      </c>
      <c r="D490" s="1">
        <v>2</v>
      </c>
      <c r="E490" s="1" t="s">
        <v>1944</v>
      </c>
      <c r="F490" s="1" t="s">
        <v>729</v>
      </c>
      <c r="G490" s="1" t="s">
        <v>1959</v>
      </c>
      <c r="H490" s="1" t="str">
        <f t="shared" si="7"/>
        <v>prc_hicp_midx_CP12311</v>
      </c>
      <c r="I490" s="1" t="s">
        <v>728</v>
      </c>
      <c r="K490" s="1" t="s">
        <v>1940</v>
      </c>
      <c r="L490" t="s">
        <v>865</v>
      </c>
      <c r="M490" s="1" t="s">
        <v>864</v>
      </c>
      <c r="N490" s="1" t="s">
        <v>725</v>
      </c>
      <c r="Q490" s="1" t="s">
        <v>724</v>
      </c>
      <c r="S490" s="1" t="s">
        <v>1905</v>
      </c>
    </row>
    <row r="491" spans="1:19" x14ac:dyDescent="0.25">
      <c r="A491" s="1" t="s">
        <v>308</v>
      </c>
      <c r="B491" s="1" t="s">
        <v>308</v>
      </c>
      <c r="C491" s="1">
        <v>1</v>
      </c>
      <c r="D491" s="1">
        <v>2</v>
      </c>
      <c r="E491" s="1" t="s">
        <v>1944</v>
      </c>
      <c r="F491" s="1" t="s">
        <v>729</v>
      </c>
      <c r="G491" s="1" t="s">
        <v>1959</v>
      </c>
      <c r="H491" s="1" t="str">
        <f t="shared" si="7"/>
        <v>prc_hicp_midx_CP12312</v>
      </c>
      <c r="I491" s="1" t="s">
        <v>728</v>
      </c>
      <c r="K491" s="1" t="s">
        <v>1940</v>
      </c>
      <c r="L491" t="s">
        <v>863</v>
      </c>
      <c r="M491" s="1" t="s">
        <v>862</v>
      </c>
      <c r="N491" s="1" t="s">
        <v>725</v>
      </c>
      <c r="Q491" s="1" t="s">
        <v>724</v>
      </c>
      <c r="S491" s="1" t="s">
        <v>1905</v>
      </c>
    </row>
    <row r="492" spans="1:19" x14ac:dyDescent="0.25">
      <c r="A492" s="1" t="s">
        <v>308</v>
      </c>
      <c r="B492" s="1" t="s">
        <v>308</v>
      </c>
      <c r="C492" s="1">
        <v>1</v>
      </c>
      <c r="D492" s="1">
        <v>2</v>
      </c>
      <c r="E492" s="1" t="s">
        <v>1944</v>
      </c>
      <c r="F492" s="1" t="s">
        <v>729</v>
      </c>
      <c r="G492" s="1" t="s">
        <v>1959</v>
      </c>
      <c r="H492" s="1" t="str">
        <f t="shared" si="7"/>
        <v>prc_hicp_midx_CP12313</v>
      </c>
      <c r="I492" s="1" t="s">
        <v>728</v>
      </c>
      <c r="K492" s="1" t="s">
        <v>1940</v>
      </c>
      <c r="L492" t="s">
        <v>861</v>
      </c>
      <c r="M492" s="1" t="s">
        <v>860</v>
      </c>
      <c r="N492" s="1" t="s">
        <v>725</v>
      </c>
      <c r="Q492" s="1" t="s">
        <v>724</v>
      </c>
      <c r="S492" s="1" t="s">
        <v>1905</v>
      </c>
    </row>
    <row r="493" spans="1:19" x14ac:dyDescent="0.25">
      <c r="A493" s="1" t="s">
        <v>308</v>
      </c>
      <c r="B493" s="1" t="s">
        <v>308</v>
      </c>
      <c r="C493" s="1">
        <v>1</v>
      </c>
      <c r="D493" s="1">
        <v>2</v>
      </c>
      <c r="E493" s="1" t="s">
        <v>1944</v>
      </c>
      <c r="F493" s="1" t="s">
        <v>729</v>
      </c>
      <c r="G493" s="1" t="s">
        <v>1959</v>
      </c>
      <c r="H493" s="1" t="str">
        <f t="shared" si="7"/>
        <v>prc_hicp_midx_CP1232</v>
      </c>
      <c r="I493" s="1" t="s">
        <v>728</v>
      </c>
      <c r="K493" s="1" t="s">
        <v>1940</v>
      </c>
      <c r="L493" t="s">
        <v>859</v>
      </c>
      <c r="M493" s="1" t="s">
        <v>858</v>
      </c>
      <c r="N493" s="1" t="s">
        <v>725</v>
      </c>
      <c r="Q493" s="1" t="s">
        <v>724</v>
      </c>
      <c r="S493" s="1" t="s">
        <v>1905</v>
      </c>
    </row>
    <row r="494" spans="1:19" x14ac:dyDescent="0.25">
      <c r="A494" s="1" t="s">
        <v>308</v>
      </c>
      <c r="B494" s="1" t="s">
        <v>308</v>
      </c>
      <c r="C494" s="1">
        <v>1</v>
      </c>
      <c r="D494" s="1">
        <v>2</v>
      </c>
      <c r="E494" s="1" t="s">
        <v>1944</v>
      </c>
      <c r="F494" s="1" t="s">
        <v>729</v>
      </c>
      <c r="G494" s="1" t="s">
        <v>1959</v>
      </c>
      <c r="H494" s="1" t="str">
        <f t="shared" si="7"/>
        <v>prc_hicp_midx_CP12321</v>
      </c>
      <c r="I494" s="1" t="s">
        <v>728</v>
      </c>
      <c r="K494" s="1" t="s">
        <v>1940</v>
      </c>
      <c r="L494" t="s">
        <v>857</v>
      </c>
      <c r="M494" s="1" t="s">
        <v>856</v>
      </c>
      <c r="N494" s="1" t="s">
        <v>725</v>
      </c>
      <c r="Q494" s="1" t="s">
        <v>724</v>
      </c>
      <c r="S494" s="1" t="s">
        <v>1905</v>
      </c>
    </row>
    <row r="495" spans="1:19" x14ac:dyDescent="0.25">
      <c r="A495" s="1" t="s">
        <v>308</v>
      </c>
      <c r="B495" s="1" t="s">
        <v>308</v>
      </c>
      <c r="C495" s="1">
        <v>1</v>
      </c>
      <c r="D495" s="1">
        <v>2</v>
      </c>
      <c r="E495" s="1" t="s">
        <v>1944</v>
      </c>
      <c r="F495" s="1" t="s">
        <v>729</v>
      </c>
      <c r="G495" s="1" t="s">
        <v>1959</v>
      </c>
      <c r="H495" s="1" t="str">
        <f t="shared" si="7"/>
        <v>prc_hicp_midx_CP12322</v>
      </c>
      <c r="I495" s="1" t="s">
        <v>728</v>
      </c>
      <c r="K495" s="1" t="s">
        <v>1940</v>
      </c>
      <c r="L495" t="s">
        <v>855</v>
      </c>
      <c r="M495" s="1" t="s">
        <v>854</v>
      </c>
      <c r="N495" s="1" t="s">
        <v>725</v>
      </c>
      <c r="Q495" s="1" t="s">
        <v>724</v>
      </c>
      <c r="S495" s="1" t="s">
        <v>1905</v>
      </c>
    </row>
    <row r="496" spans="1:19" x14ac:dyDescent="0.25">
      <c r="A496" s="1" t="s">
        <v>308</v>
      </c>
      <c r="B496" s="1" t="s">
        <v>308</v>
      </c>
      <c r="C496" s="1">
        <v>1</v>
      </c>
      <c r="D496" s="1">
        <v>2</v>
      </c>
      <c r="E496" s="1" t="s">
        <v>1944</v>
      </c>
      <c r="F496" s="1" t="s">
        <v>729</v>
      </c>
      <c r="G496" s="1" t="s">
        <v>1959</v>
      </c>
      <c r="H496" s="1" t="str">
        <f t="shared" si="7"/>
        <v>prc_hicp_midx_CP12323</v>
      </c>
      <c r="I496" s="1" t="s">
        <v>728</v>
      </c>
      <c r="K496" s="1" t="s">
        <v>1940</v>
      </c>
      <c r="L496" t="s">
        <v>853</v>
      </c>
      <c r="M496" s="1" t="s">
        <v>852</v>
      </c>
      <c r="N496" s="1" t="s">
        <v>725</v>
      </c>
      <c r="Q496" s="1" t="s">
        <v>724</v>
      </c>
      <c r="S496" s="1" t="s">
        <v>1905</v>
      </c>
    </row>
    <row r="497" spans="1:19" x14ac:dyDescent="0.25">
      <c r="A497" s="1" t="s">
        <v>308</v>
      </c>
      <c r="B497" s="1" t="s">
        <v>308</v>
      </c>
      <c r="C497" s="1">
        <v>1</v>
      </c>
      <c r="D497" s="1">
        <v>2</v>
      </c>
      <c r="E497" s="1" t="s">
        <v>1944</v>
      </c>
      <c r="F497" s="1" t="s">
        <v>729</v>
      </c>
      <c r="G497" s="1" t="s">
        <v>1959</v>
      </c>
      <c r="H497" s="1" t="str">
        <f t="shared" si="7"/>
        <v>prc_hicp_midx_CP12329</v>
      </c>
      <c r="I497" s="1" t="s">
        <v>728</v>
      </c>
      <c r="K497" s="1" t="s">
        <v>1940</v>
      </c>
      <c r="L497" t="s">
        <v>851</v>
      </c>
      <c r="M497" s="1" t="s">
        <v>850</v>
      </c>
      <c r="N497" s="1" t="s">
        <v>725</v>
      </c>
      <c r="Q497" s="1" t="s">
        <v>724</v>
      </c>
      <c r="S497" s="1" t="s">
        <v>1905</v>
      </c>
    </row>
    <row r="498" spans="1:19" x14ac:dyDescent="0.25">
      <c r="A498" s="1" t="s">
        <v>308</v>
      </c>
      <c r="B498" s="1" t="s">
        <v>308</v>
      </c>
      <c r="C498" s="1">
        <v>1</v>
      </c>
      <c r="D498" s="1">
        <v>2</v>
      </c>
      <c r="E498" s="1" t="s">
        <v>1944</v>
      </c>
      <c r="F498" s="1" t="s">
        <v>729</v>
      </c>
      <c r="G498" s="1" t="s">
        <v>1959</v>
      </c>
      <c r="H498" s="1" t="str">
        <f t="shared" si="7"/>
        <v>prc_hicp_midx_CP124</v>
      </c>
      <c r="I498" s="1" t="s">
        <v>728</v>
      </c>
      <c r="K498" s="1" t="s">
        <v>1940</v>
      </c>
      <c r="L498" t="s">
        <v>849</v>
      </c>
      <c r="M498" s="1" t="s">
        <v>848</v>
      </c>
      <c r="N498" s="1" t="s">
        <v>725</v>
      </c>
      <c r="Q498" s="1" t="s">
        <v>724</v>
      </c>
      <c r="S498" s="1" t="s">
        <v>1905</v>
      </c>
    </row>
    <row r="499" spans="1:19" x14ac:dyDescent="0.25">
      <c r="A499" s="1" t="s">
        <v>308</v>
      </c>
      <c r="B499" s="1" t="s">
        <v>308</v>
      </c>
      <c r="C499" s="1">
        <v>1</v>
      </c>
      <c r="D499" s="1">
        <v>2</v>
      </c>
      <c r="E499" s="1" t="s">
        <v>1944</v>
      </c>
      <c r="F499" s="1" t="s">
        <v>729</v>
      </c>
      <c r="G499" s="1" t="s">
        <v>1959</v>
      </c>
      <c r="H499" s="1" t="str">
        <f t="shared" si="7"/>
        <v>prc_hicp_midx_CP12401</v>
      </c>
      <c r="I499" s="1" t="s">
        <v>728</v>
      </c>
      <c r="K499" s="1" t="s">
        <v>1940</v>
      </c>
      <c r="L499" t="s">
        <v>847</v>
      </c>
      <c r="M499" s="1" t="s">
        <v>846</v>
      </c>
      <c r="N499" s="1" t="s">
        <v>725</v>
      </c>
      <c r="Q499" s="1" t="s">
        <v>724</v>
      </c>
      <c r="S499" s="1" t="s">
        <v>1905</v>
      </c>
    </row>
    <row r="500" spans="1:19" x14ac:dyDescent="0.25">
      <c r="A500" s="1" t="s">
        <v>308</v>
      </c>
      <c r="B500" s="1" t="s">
        <v>308</v>
      </c>
      <c r="C500" s="1">
        <v>1</v>
      </c>
      <c r="D500" s="1">
        <v>2</v>
      </c>
      <c r="E500" s="1" t="s">
        <v>1944</v>
      </c>
      <c r="F500" s="1" t="s">
        <v>729</v>
      </c>
      <c r="G500" s="1" t="s">
        <v>1959</v>
      </c>
      <c r="H500" s="1" t="str">
        <f t="shared" si="7"/>
        <v>prc_hicp_midx_CP12402</v>
      </c>
      <c r="I500" s="1" t="s">
        <v>728</v>
      </c>
      <c r="K500" s="1" t="s">
        <v>1940</v>
      </c>
      <c r="L500" t="s">
        <v>845</v>
      </c>
      <c r="M500" s="1" t="s">
        <v>844</v>
      </c>
      <c r="N500" s="1" t="s">
        <v>725</v>
      </c>
      <c r="Q500" s="1" t="s">
        <v>724</v>
      </c>
      <c r="S500" s="1" t="s">
        <v>1905</v>
      </c>
    </row>
    <row r="501" spans="1:19" x14ac:dyDescent="0.25">
      <c r="A501" s="1" t="s">
        <v>308</v>
      </c>
      <c r="B501" s="1" t="s">
        <v>308</v>
      </c>
      <c r="C501" s="1">
        <v>1</v>
      </c>
      <c r="D501" s="1">
        <v>2</v>
      </c>
      <c r="E501" s="1" t="s">
        <v>1944</v>
      </c>
      <c r="F501" s="1" t="s">
        <v>729</v>
      </c>
      <c r="G501" s="1" t="s">
        <v>1959</v>
      </c>
      <c r="H501" s="1" t="str">
        <f t="shared" si="7"/>
        <v>prc_hicp_midx_CP12403</v>
      </c>
      <c r="I501" s="1" t="s">
        <v>728</v>
      </c>
      <c r="K501" s="1" t="s">
        <v>1940</v>
      </c>
      <c r="L501" t="s">
        <v>843</v>
      </c>
      <c r="M501" s="1" t="s">
        <v>842</v>
      </c>
      <c r="N501" s="1" t="s">
        <v>725</v>
      </c>
      <c r="Q501" s="1" t="s">
        <v>724</v>
      </c>
      <c r="S501" s="1" t="s">
        <v>1905</v>
      </c>
    </row>
    <row r="502" spans="1:19" x14ac:dyDescent="0.25">
      <c r="A502" s="1" t="s">
        <v>308</v>
      </c>
      <c r="B502" s="1" t="s">
        <v>308</v>
      </c>
      <c r="C502" s="1">
        <v>1</v>
      </c>
      <c r="D502" s="1">
        <v>2</v>
      </c>
      <c r="E502" s="1" t="s">
        <v>1944</v>
      </c>
      <c r="F502" s="1" t="s">
        <v>729</v>
      </c>
      <c r="G502" s="1" t="s">
        <v>1959</v>
      </c>
      <c r="H502" s="1" t="str">
        <f t="shared" si="7"/>
        <v>prc_hicp_midx_CP12404</v>
      </c>
      <c r="I502" s="1" t="s">
        <v>728</v>
      </c>
      <c r="K502" s="1" t="s">
        <v>1940</v>
      </c>
      <c r="L502" t="s">
        <v>841</v>
      </c>
      <c r="M502" s="1" t="s">
        <v>840</v>
      </c>
      <c r="N502" s="1" t="s">
        <v>725</v>
      </c>
      <c r="Q502" s="1" t="s">
        <v>724</v>
      </c>
      <c r="S502" s="1" t="s">
        <v>1905</v>
      </c>
    </row>
    <row r="503" spans="1:19" x14ac:dyDescent="0.25">
      <c r="A503" s="1" t="s">
        <v>308</v>
      </c>
      <c r="B503" s="1" t="s">
        <v>308</v>
      </c>
      <c r="C503" s="1">
        <v>1</v>
      </c>
      <c r="D503" s="1">
        <v>2</v>
      </c>
      <c r="E503" s="1" t="s">
        <v>1944</v>
      </c>
      <c r="F503" s="1" t="s">
        <v>729</v>
      </c>
      <c r="G503" s="1" t="s">
        <v>1959</v>
      </c>
      <c r="H503" s="1" t="str">
        <f t="shared" si="7"/>
        <v>prc_hicp_midx_CP125</v>
      </c>
      <c r="I503" s="1" t="s">
        <v>728</v>
      </c>
      <c r="K503" s="1" t="s">
        <v>1940</v>
      </c>
      <c r="L503" t="s">
        <v>839</v>
      </c>
      <c r="M503" s="1" t="s">
        <v>838</v>
      </c>
      <c r="N503" s="1" t="s">
        <v>725</v>
      </c>
      <c r="Q503" s="1" t="s">
        <v>724</v>
      </c>
      <c r="S503" s="1" t="s">
        <v>1905</v>
      </c>
    </row>
    <row r="504" spans="1:19" x14ac:dyDescent="0.25">
      <c r="A504" s="1" t="s">
        <v>308</v>
      </c>
      <c r="B504" s="1" t="s">
        <v>308</v>
      </c>
      <c r="C504" s="1">
        <v>1</v>
      </c>
      <c r="D504" s="1">
        <v>2</v>
      </c>
      <c r="E504" s="1" t="s">
        <v>1944</v>
      </c>
      <c r="F504" s="1" t="s">
        <v>729</v>
      </c>
      <c r="G504" s="1" t="s">
        <v>1959</v>
      </c>
      <c r="H504" s="1" t="str">
        <f t="shared" si="7"/>
        <v>prc_hicp_midx_CP1252</v>
      </c>
      <c r="I504" s="1" t="s">
        <v>728</v>
      </c>
      <c r="K504" s="1" t="s">
        <v>1940</v>
      </c>
      <c r="L504" t="s">
        <v>837</v>
      </c>
      <c r="M504" s="1" t="s">
        <v>836</v>
      </c>
      <c r="N504" s="1" t="s">
        <v>725</v>
      </c>
      <c r="Q504" s="1" t="s">
        <v>724</v>
      </c>
      <c r="S504" s="1" t="s">
        <v>1905</v>
      </c>
    </row>
    <row r="505" spans="1:19" x14ac:dyDescent="0.25">
      <c r="A505" s="1" t="s">
        <v>308</v>
      </c>
      <c r="B505" s="1" t="s">
        <v>308</v>
      </c>
      <c r="C505" s="1">
        <v>1</v>
      </c>
      <c r="D505" s="1">
        <v>2</v>
      </c>
      <c r="E505" s="1" t="s">
        <v>1944</v>
      </c>
      <c r="F505" s="1" t="s">
        <v>729</v>
      </c>
      <c r="G505" s="1" t="s">
        <v>1959</v>
      </c>
      <c r="H505" s="1" t="str">
        <f t="shared" si="7"/>
        <v>prc_hicp_midx_CP1253</v>
      </c>
      <c r="I505" s="1" t="s">
        <v>728</v>
      </c>
      <c r="K505" s="1" t="s">
        <v>1940</v>
      </c>
      <c r="L505" t="s">
        <v>835</v>
      </c>
      <c r="M505" s="1" t="s">
        <v>834</v>
      </c>
      <c r="N505" s="1" t="s">
        <v>725</v>
      </c>
      <c r="Q505" s="1" t="s">
        <v>724</v>
      </c>
      <c r="S505" s="1" t="s">
        <v>1905</v>
      </c>
    </row>
    <row r="506" spans="1:19" x14ac:dyDescent="0.25">
      <c r="A506" s="1" t="s">
        <v>308</v>
      </c>
      <c r="B506" s="1" t="s">
        <v>308</v>
      </c>
      <c r="C506" s="1">
        <v>1</v>
      </c>
      <c r="D506" s="1">
        <v>2</v>
      </c>
      <c r="E506" s="1" t="s">
        <v>1944</v>
      </c>
      <c r="F506" s="1" t="s">
        <v>729</v>
      </c>
      <c r="G506" s="1" t="s">
        <v>1959</v>
      </c>
      <c r="H506" s="1" t="str">
        <f t="shared" si="7"/>
        <v>prc_hicp_midx_CP12532</v>
      </c>
      <c r="I506" s="1" t="s">
        <v>728</v>
      </c>
      <c r="K506" s="1" t="s">
        <v>1940</v>
      </c>
      <c r="L506" t="s">
        <v>833</v>
      </c>
      <c r="M506" s="1" t="s">
        <v>832</v>
      </c>
      <c r="N506" s="1" t="s">
        <v>725</v>
      </c>
      <c r="Q506" s="1" t="s">
        <v>724</v>
      </c>
      <c r="S506" s="1" t="s">
        <v>1905</v>
      </c>
    </row>
    <row r="507" spans="1:19" x14ac:dyDescent="0.25">
      <c r="A507" s="1" t="s">
        <v>308</v>
      </c>
      <c r="B507" s="1" t="s">
        <v>308</v>
      </c>
      <c r="C507" s="1">
        <v>1</v>
      </c>
      <c r="D507" s="1">
        <v>2</v>
      </c>
      <c r="E507" s="1" t="s">
        <v>1944</v>
      </c>
      <c r="F507" s="1" t="s">
        <v>729</v>
      </c>
      <c r="G507" s="1" t="s">
        <v>1959</v>
      </c>
      <c r="H507" s="1" t="str">
        <f t="shared" si="7"/>
        <v>prc_hicp_midx_CP1254</v>
      </c>
      <c r="I507" s="1" t="s">
        <v>728</v>
      </c>
      <c r="K507" s="1" t="s">
        <v>1940</v>
      </c>
      <c r="L507" t="s">
        <v>831</v>
      </c>
      <c r="M507" s="1" t="s">
        <v>830</v>
      </c>
      <c r="N507" s="1" t="s">
        <v>725</v>
      </c>
      <c r="Q507" s="1" t="s">
        <v>724</v>
      </c>
      <c r="S507" s="1" t="s">
        <v>1905</v>
      </c>
    </row>
    <row r="508" spans="1:19" x14ac:dyDescent="0.25">
      <c r="A508" s="1" t="s">
        <v>308</v>
      </c>
      <c r="B508" s="1" t="s">
        <v>308</v>
      </c>
      <c r="C508" s="1">
        <v>1</v>
      </c>
      <c r="D508" s="1">
        <v>2</v>
      </c>
      <c r="E508" s="1" t="s">
        <v>1944</v>
      </c>
      <c r="F508" s="1" t="s">
        <v>729</v>
      </c>
      <c r="G508" s="1" t="s">
        <v>1959</v>
      </c>
      <c r="H508" s="1" t="str">
        <f t="shared" si="7"/>
        <v>prc_hicp_midx_CP12541</v>
      </c>
      <c r="I508" s="1" t="s">
        <v>728</v>
      </c>
      <c r="K508" s="1" t="s">
        <v>1940</v>
      </c>
      <c r="L508" t="s">
        <v>829</v>
      </c>
      <c r="M508" s="1" t="s">
        <v>828</v>
      </c>
      <c r="N508" s="1" t="s">
        <v>725</v>
      </c>
      <c r="Q508" s="1" t="s">
        <v>724</v>
      </c>
      <c r="S508" s="1" t="s">
        <v>1905</v>
      </c>
    </row>
    <row r="509" spans="1:19" x14ac:dyDescent="0.25">
      <c r="A509" s="1" t="s">
        <v>308</v>
      </c>
      <c r="B509" s="1" t="s">
        <v>308</v>
      </c>
      <c r="C509" s="1">
        <v>1</v>
      </c>
      <c r="D509" s="1">
        <v>2</v>
      </c>
      <c r="E509" s="1" t="s">
        <v>1944</v>
      </c>
      <c r="F509" s="1" t="s">
        <v>729</v>
      </c>
      <c r="G509" s="1" t="s">
        <v>1959</v>
      </c>
      <c r="H509" s="1" t="str">
        <f t="shared" si="7"/>
        <v>prc_hicp_midx_CP12542</v>
      </c>
      <c r="I509" s="1" t="s">
        <v>728</v>
      </c>
      <c r="K509" s="1" t="s">
        <v>1940</v>
      </c>
      <c r="L509" t="s">
        <v>827</v>
      </c>
      <c r="M509" s="1" t="s">
        <v>826</v>
      </c>
      <c r="N509" s="1" t="s">
        <v>725</v>
      </c>
      <c r="Q509" s="1" t="s">
        <v>724</v>
      </c>
      <c r="S509" s="1" t="s">
        <v>1905</v>
      </c>
    </row>
    <row r="510" spans="1:19" x14ac:dyDescent="0.25">
      <c r="A510" s="1" t="s">
        <v>308</v>
      </c>
      <c r="B510" s="1" t="s">
        <v>308</v>
      </c>
      <c r="C510" s="1">
        <v>1</v>
      </c>
      <c r="D510" s="1">
        <v>2</v>
      </c>
      <c r="E510" s="1" t="s">
        <v>1944</v>
      </c>
      <c r="F510" s="1" t="s">
        <v>729</v>
      </c>
      <c r="G510" s="1" t="s">
        <v>1959</v>
      </c>
      <c r="H510" s="1" t="str">
        <f t="shared" si="7"/>
        <v>prc_hicp_midx_CP1255</v>
      </c>
      <c r="I510" s="1" t="s">
        <v>728</v>
      </c>
      <c r="K510" s="1" t="s">
        <v>1940</v>
      </c>
      <c r="L510" t="s">
        <v>825</v>
      </c>
      <c r="M510" s="1" t="s">
        <v>824</v>
      </c>
      <c r="N510" s="1" t="s">
        <v>725</v>
      </c>
      <c r="Q510" s="1" t="s">
        <v>724</v>
      </c>
      <c r="S510" s="1" t="s">
        <v>1905</v>
      </c>
    </row>
    <row r="511" spans="1:19" x14ac:dyDescent="0.25">
      <c r="A511" s="1" t="s">
        <v>308</v>
      </c>
      <c r="B511" s="1" t="s">
        <v>308</v>
      </c>
      <c r="C511" s="1">
        <v>1</v>
      </c>
      <c r="D511" s="1">
        <v>2</v>
      </c>
      <c r="E511" s="1" t="s">
        <v>1944</v>
      </c>
      <c r="F511" s="1" t="s">
        <v>729</v>
      </c>
      <c r="G511" s="1" t="s">
        <v>1959</v>
      </c>
      <c r="H511" s="1" t="str">
        <f t="shared" si="7"/>
        <v>prc_hicp_midx_CP126</v>
      </c>
      <c r="I511" s="1" t="s">
        <v>728</v>
      </c>
      <c r="K511" s="1" t="s">
        <v>1940</v>
      </c>
      <c r="L511" t="s">
        <v>823</v>
      </c>
      <c r="M511" s="1" t="s">
        <v>822</v>
      </c>
      <c r="N511" s="1" t="s">
        <v>725</v>
      </c>
      <c r="Q511" s="1" t="s">
        <v>724</v>
      </c>
      <c r="S511" s="1" t="s">
        <v>1905</v>
      </c>
    </row>
    <row r="512" spans="1:19" x14ac:dyDescent="0.25">
      <c r="A512" s="1" t="s">
        <v>308</v>
      </c>
      <c r="B512" s="1" t="s">
        <v>308</v>
      </c>
      <c r="C512" s="1">
        <v>1</v>
      </c>
      <c r="D512" s="1">
        <v>2</v>
      </c>
      <c r="E512" s="1" t="s">
        <v>1944</v>
      </c>
      <c r="F512" s="1" t="s">
        <v>729</v>
      </c>
      <c r="G512" s="1" t="s">
        <v>1959</v>
      </c>
      <c r="H512" s="1" t="str">
        <f t="shared" si="7"/>
        <v>prc_hicp_midx_CP12621</v>
      </c>
      <c r="I512" s="1" t="s">
        <v>728</v>
      </c>
      <c r="K512" s="1" t="s">
        <v>1940</v>
      </c>
      <c r="L512" t="s">
        <v>821</v>
      </c>
      <c r="M512" s="1" t="s">
        <v>820</v>
      </c>
      <c r="N512" s="1" t="s">
        <v>725</v>
      </c>
      <c r="Q512" s="1" t="s">
        <v>724</v>
      </c>
      <c r="S512" s="1" t="s">
        <v>1905</v>
      </c>
    </row>
    <row r="513" spans="1:19" x14ac:dyDescent="0.25">
      <c r="A513" s="1" t="s">
        <v>308</v>
      </c>
      <c r="B513" s="1" t="s">
        <v>308</v>
      </c>
      <c r="C513" s="1">
        <v>1</v>
      </c>
      <c r="D513" s="1">
        <v>2</v>
      </c>
      <c r="E513" s="1" t="s">
        <v>1944</v>
      </c>
      <c r="F513" s="1" t="s">
        <v>729</v>
      </c>
      <c r="G513" s="1" t="s">
        <v>1959</v>
      </c>
      <c r="H513" s="1" t="str">
        <f t="shared" si="7"/>
        <v>prc_hicp_midx_CP12622</v>
      </c>
      <c r="I513" s="1" t="s">
        <v>728</v>
      </c>
      <c r="K513" s="1" t="s">
        <v>1940</v>
      </c>
      <c r="L513" t="s">
        <v>819</v>
      </c>
      <c r="M513" s="1" t="s">
        <v>818</v>
      </c>
      <c r="N513" s="1" t="s">
        <v>725</v>
      </c>
      <c r="Q513" s="1" t="s">
        <v>724</v>
      </c>
      <c r="S513" s="1" t="s">
        <v>1905</v>
      </c>
    </row>
    <row r="514" spans="1:19" x14ac:dyDescent="0.25">
      <c r="A514" s="1" t="s">
        <v>308</v>
      </c>
      <c r="B514" s="1" t="s">
        <v>308</v>
      </c>
      <c r="C514" s="1">
        <v>1</v>
      </c>
      <c r="D514" s="1">
        <v>2</v>
      </c>
      <c r="E514" s="1" t="s">
        <v>1944</v>
      </c>
      <c r="F514" s="1" t="s">
        <v>729</v>
      </c>
      <c r="G514" s="1" t="s">
        <v>1959</v>
      </c>
      <c r="H514" s="1" t="str">
        <f t="shared" si="7"/>
        <v>prc_hicp_midx_CP127</v>
      </c>
      <c r="I514" s="1" t="s">
        <v>728</v>
      </c>
      <c r="K514" s="1" t="s">
        <v>1940</v>
      </c>
      <c r="L514" t="s">
        <v>817</v>
      </c>
      <c r="M514" s="1" t="s">
        <v>816</v>
      </c>
      <c r="N514" s="1" t="s">
        <v>725</v>
      </c>
      <c r="Q514" s="1" t="s">
        <v>724</v>
      </c>
      <c r="S514" s="1" t="s">
        <v>1905</v>
      </c>
    </row>
    <row r="515" spans="1:19" x14ac:dyDescent="0.25">
      <c r="A515" s="1" t="s">
        <v>308</v>
      </c>
      <c r="B515" s="1" t="s">
        <v>308</v>
      </c>
      <c r="C515" s="1">
        <v>1</v>
      </c>
      <c r="D515" s="1">
        <v>2</v>
      </c>
      <c r="E515" s="1" t="s">
        <v>1944</v>
      </c>
      <c r="F515" s="1" t="s">
        <v>729</v>
      </c>
      <c r="G515" s="1" t="s">
        <v>1959</v>
      </c>
      <c r="H515" s="1" t="str">
        <f t="shared" ref="H515:H561" si="8">+I515&amp;"_"&amp;L515</f>
        <v>prc_hicp_midx_CP12701</v>
      </c>
      <c r="I515" s="1" t="s">
        <v>728</v>
      </c>
      <c r="K515" s="1" t="s">
        <v>1940</v>
      </c>
      <c r="L515" t="s">
        <v>815</v>
      </c>
      <c r="M515" s="1" t="s">
        <v>814</v>
      </c>
      <c r="N515" s="1" t="s">
        <v>725</v>
      </c>
      <c r="Q515" s="1" t="s">
        <v>724</v>
      </c>
      <c r="S515" s="1" t="s">
        <v>1905</v>
      </c>
    </row>
    <row r="516" spans="1:19" x14ac:dyDescent="0.25">
      <c r="A516" s="1" t="s">
        <v>308</v>
      </c>
      <c r="B516" s="1" t="s">
        <v>308</v>
      </c>
      <c r="C516" s="1">
        <v>1</v>
      </c>
      <c r="D516" s="1">
        <v>2</v>
      </c>
      <c r="E516" s="1" t="s">
        <v>1944</v>
      </c>
      <c r="F516" s="1" t="s">
        <v>729</v>
      </c>
      <c r="G516" s="1" t="s">
        <v>1959</v>
      </c>
      <c r="H516" s="1" t="str">
        <f t="shared" si="8"/>
        <v>prc_hicp_midx_CP12702</v>
      </c>
      <c r="I516" s="1" t="s">
        <v>728</v>
      </c>
      <c r="K516" s="1" t="s">
        <v>1940</v>
      </c>
      <c r="L516" t="s">
        <v>813</v>
      </c>
      <c r="M516" s="1" t="s">
        <v>812</v>
      </c>
      <c r="N516" s="1" t="s">
        <v>725</v>
      </c>
      <c r="Q516" s="1" t="s">
        <v>724</v>
      </c>
      <c r="S516" s="1" t="s">
        <v>1905</v>
      </c>
    </row>
    <row r="517" spans="1:19" x14ac:dyDescent="0.25">
      <c r="A517" s="1" t="s">
        <v>308</v>
      </c>
      <c r="B517" s="1" t="s">
        <v>308</v>
      </c>
      <c r="C517" s="1">
        <v>1</v>
      </c>
      <c r="D517" s="1">
        <v>2</v>
      </c>
      <c r="E517" s="1" t="s">
        <v>1944</v>
      </c>
      <c r="F517" s="1" t="s">
        <v>729</v>
      </c>
      <c r="G517" s="1" t="s">
        <v>1959</v>
      </c>
      <c r="H517" s="1" t="str">
        <f t="shared" si="8"/>
        <v>prc_hicp_midx_CP12703</v>
      </c>
      <c r="I517" s="1" t="s">
        <v>728</v>
      </c>
      <c r="K517" s="1" t="s">
        <v>1940</v>
      </c>
      <c r="L517" t="s">
        <v>811</v>
      </c>
      <c r="M517" s="1" t="s">
        <v>810</v>
      </c>
      <c r="N517" s="1" t="s">
        <v>725</v>
      </c>
      <c r="Q517" s="1" t="s">
        <v>724</v>
      </c>
      <c r="S517" s="1" t="s">
        <v>1905</v>
      </c>
    </row>
    <row r="518" spans="1:19" x14ac:dyDescent="0.25">
      <c r="A518" s="1" t="s">
        <v>308</v>
      </c>
      <c r="B518" s="1" t="s">
        <v>308</v>
      </c>
      <c r="C518" s="1">
        <v>1</v>
      </c>
      <c r="D518" s="1">
        <v>2</v>
      </c>
      <c r="E518" s="1" t="s">
        <v>1944</v>
      </c>
      <c r="F518" s="1" t="s">
        <v>729</v>
      </c>
      <c r="G518" s="1" t="s">
        <v>1959</v>
      </c>
      <c r="H518" s="1" t="str">
        <f t="shared" si="8"/>
        <v>prc_hicp_midx_CP12704</v>
      </c>
      <c r="I518" s="1" t="s">
        <v>728</v>
      </c>
      <c r="K518" s="1" t="s">
        <v>1940</v>
      </c>
      <c r="L518" t="s">
        <v>809</v>
      </c>
      <c r="M518" s="1" t="s">
        <v>808</v>
      </c>
      <c r="N518" s="1" t="s">
        <v>725</v>
      </c>
      <c r="Q518" s="1" t="s">
        <v>724</v>
      </c>
      <c r="S518" s="1" t="s">
        <v>1905</v>
      </c>
    </row>
    <row r="519" spans="1:19" x14ac:dyDescent="0.25">
      <c r="A519" s="1" t="s">
        <v>308</v>
      </c>
      <c r="B519" s="1" t="s">
        <v>308</v>
      </c>
      <c r="C519" s="1">
        <v>1</v>
      </c>
      <c r="D519" s="1">
        <v>2</v>
      </c>
      <c r="E519" s="1" t="s">
        <v>1944</v>
      </c>
      <c r="F519" s="1" t="s">
        <v>729</v>
      </c>
      <c r="G519" s="1" t="s">
        <v>1959</v>
      </c>
      <c r="H519" s="1" t="str">
        <f t="shared" si="8"/>
        <v>prc_hicp_midx_EDUC_HLTH_SPR</v>
      </c>
      <c r="I519" s="1" t="s">
        <v>728</v>
      </c>
      <c r="K519" s="1" t="s">
        <v>1940</v>
      </c>
      <c r="L519" t="s">
        <v>807</v>
      </c>
      <c r="M519" s="1" t="s">
        <v>806</v>
      </c>
      <c r="N519" s="1" t="s">
        <v>725</v>
      </c>
      <c r="Q519" s="1" t="s">
        <v>724</v>
      </c>
      <c r="S519" s="1" t="s">
        <v>1905</v>
      </c>
    </row>
    <row r="520" spans="1:19" x14ac:dyDescent="0.25">
      <c r="A520" s="1" t="s">
        <v>308</v>
      </c>
      <c r="B520" s="1" t="s">
        <v>308</v>
      </c>
      <c r="C520" s="1">
        <v>1</v>
      </c>
      <c r="D520" s="1">
        <v>2</v>
      </c>
      <c r="E520" s="1" t="s">
        <v>1944</v>
      </c>
      <c r="F520" s="1" t="s">
        <v>729</v>
      </c>
      <c r="G520" s="1" t="s">
        <v>1959</v>
      </c>
      <c r="H520" s="1" t="str">
        <f t="shared" si="8"/>
        <v>prc_hicp_midx_ELC_GAS</v>
      </c>
      <c r="I520" s="1" t="s">
        <v>728</v>
      </c>
      <c r="K520" s="1" t="s">
        <v>1940</v>
      </c>
      <c r="L520" t="s">
        <v>805</v>
      </c>
      <c r="M520" s="1" t="s">
        <v>804</v>
      </c>
      <c r="N520" s="1" t="s">
        <v>725</v>
      </c>
      <c r="Q520" s="1" t="s">
        <v>724</v>
      </c>
      <c r="S520" s="1" t="s">
        <v>1905</v>
      </c>
    </row>
    <row r="521" spans="1:19" x14ac:dyDescent="0.25">
      <c r="A521" s="1" t="s">
        <v>308</v>
      </c>
      <c r="B521" s="1" t="s">
        <v>308</v>
      </c>
      <c r="C521" s="1">
        <v>1</v>
      </c>
      <c r="D521" s="1">
        <v>2</v>
      </c>
      <c r="E521" s="1" t="s">
        <v>1944</v>
      </c>
      <c r="F521" s="1" t="s">
        <v>729</v>
      </c>
      <c r="G521" s="1" t="s">
        <v>1959</v>
      </c>
      <c r="H521" s="1" t="str">
        <f t="shared" si="8"/>
        <v>prc_hicp_midx_FOOD</v>
      </c>
      <c r="I521" s="1" t="s">
        <v>728</v>
      </c>
      <c r="K521" s="1" t="s">
        <v>1940</v>
      </c>
      <c r="L521" t="s">
        <v>803</v>
      </c>
      <c r="M521" s="1" t="s">
        <v>802</v>
      </c>
      <c r="N521" s="1" t="s">
        <v>725</v>
      </c>
      <c r="Q521" s="1" t="s">
        <v>724</v>
      </c>
      <c r="S521" s="1" t="s">
        <v>1905</v>
      </c>
    </row>
    <row r="522" spans="1:19" x14ac:dyDescent="0.25">
      <c r="A522" s="1" t="s">
        <v>308</v>
      </c>
      <c r="B522" s="1" t="s">
        <v>308</v>
      </c>
      <c r="C522" s="1">
        <v>1</v>
      </c>
      <c r="D522" s="1">
        <v>2</v>
      </c>
      <c r="E522" s="1" t="s">
        <v>1944</v>
      </c>
      <c r="F522" s="1" t="s">
        <v>729</v>
      </c>
      <c r="G522" s="1" t="s">
        <v>1959</v>
      </c>
      <c r="H522" s="1" t="str">
        <f t="shared" si="8"/>
        <v>prc_hicp_midx_FOOD_NP</v>
      </c>
      <c r="I522" s="1" t="s">
        <v>728</v>
      </c>
      <c r="K522" s="1" t="s">
        <v>1940</v>
      </c>
      <c r="L522" t="s">
        <v>801</v>
      </c>
      <c r="M522" s="1" t="s">
        <v>800</v>
      </c>
      <c r="N522" s="1" t="s">
        <v>725</v>
      </c>
      <c r="Q522" s="1" t="s">
        <v>724</v>
      </c>
      <c r="S522" s="1" t="s">
        <v>1905</v>
      </c>
    </row>
    <row r="523" spans="1:19" x14ac:dyDescent="0.25">
      <c r="A523" s="1" t="s">
        <v>308</v>
      </c>
      <c r="B523" s="1" t="s">
        <v>308</v>
      </c>
      <c r="C523" s="1">
        <v>1</v>
      </c>
      <c r="D523" s="1">
        <v>2</v>
      </c>
      <c r="E523" s="1" t="s">
        <v>1944</v>
      </c>
      <c r="F523" s="1" t="s">
        <v>729</v>
      </c>
      <c r="G523" s="1" t="s">
        <v>1959</v>
      </c>
      <c r="H523" s="1" t="str">
        <f t="shared" si="8"/>
        <v>prc_hicp_midx_FOOD_P</v>
      </c>
      <c r="I523" s="1" t="s">
        <v>728</v>
      </c>
      <c r="K523" s="1" t="s">
        <v>1940</v>
      </c>
      <c r="L523" t="s">
        <v>799</v>
      </c>
      <c r="M523" s="1" t="s">
        <v>798</v>
      </c>
      <c r="N523" s="1" t="s">
        <v>725</v>
      </c>
      <c r="Q523" s="1" t="s">
        <v>724</v>
      </c>
      <c r="S523" s="1" t="s">
        <v>1905</v>
      </c>
    </row>
    <row r="524" spans="1:19" x14ac:dyDescent="0.25">
      <c r="A524" s="1" t="s">
        <v>308</v>
      </c>
      <c r="B524" s="1" t="s">
        <v>308</v>
      </c>
      <c r="C524" s="1">
        <v>1</v>
      </c>
      <c r="D524" s="1">
        <v>2</v>
      </c>
      <c r="E524" s="1" t="s">
        <v>1944</v>
      </c>
      <c r="F524" s="1" t="s">
        <v>729</v>
      </c>
      <c r="G524" s="1" t="s">
        <v>1959</v>
      </c>
      <c r="H524" s="1" t="str">
        <f t="shared" si="8"/>
        <v>prc_hicp_midx_FOOD_P_X_ALC_TBC</v>
      </c>
      <c r="I524" s="1" t="s">
        <v>728</v>
      </c>
      <c r="K524" s="1" t="s">
        <v>1940</v>
      </c>
      <c r="L524" t="s">
        <v>797</v>
      </c>
      <c r="M524" s="1" t="s">
        <v>796</v>
      </c>
      <c r="N524" s="1" t="s">
        <v>725</v>
      </c>
      <c r="Q524" s="1" t="s">
        <v>724</v>
      </c>
      <c r="S524" s="1" t="s">
        <v>1905</v>
      </c>
    </row>
    <row r="525" spans="1:19" x14ac:dyDescent="0.25">
      <c r="A525" s="1" t="s">
        <v>308</v>
      </c>
      <c r="B525" s="1" t="s">
        <v>308</v>
      </c>
      <c r="C525" s="1">
        <v>1</v>
      </c>
      <c r="D525" s="1">
        <v>2</v>
      </c>
      <c r="E525" s="1" t="s">
        <v>1944</v>
      </c>
      <c r="F525" s="1" t="s">
        <v>729</v>
      </c>
      <c r="G525" s="1" t="s">
        <v>1959</v>
      </c>
      <c r="H525" s="1" t="str">
        <f t="shared" si="8"/>
        <v>prc_hicp_midx_FOOD_S</v>
      </c>
      <c r="I525" s="1" t="s">
        <v>728</v>
      </c>
      <c r="K525" s="1" t="s">
        <v>1940</v>
      </c>
      <c r="L525" t="s">
        <v>795</v>
      </c>
      <c r="M525" s="1" t="s">
        <v>794</v>
      </c>
      <c r="N525" s="1" t="s">
        <v>725</v>
      </c>
      <c r="Q525" s="1" t="s">
        <v>724</v>
      </c>
      <c r="S525" s="1" t="s">
        <v>1905</v>
      </c>
    </row>
    <row r="526" spans="1:19" x14ac:dyDescent="0.25">
      <c r="A526" s="1" t="s">
        <v>308</v>
      </c>
      <c r="B526" s="1" t="s">
        <v>308</v>
      </c>
      <c r="C526" s="1">
        <v>1</v>
      </c>
      <c r="D526" s="1">
        <v>2</v>
      </c>
      <c r="E526" s="1" t="s">
        <v>1944</v>
      </c>
      <c r="F526" s="1" t="s">
        <v>729</v>
      </c>
      <c r="G526" s="1" t="s">
        <v>1959</v>
      </c>
      <c r="H526" s="1" t="str">
        <f t="shared" si="8"/>
        <v>prc_hicp_midx_FROOPP</v>
      </c>
      <c r="I526" s="1" t="s">
        <v>728</v>
      </c>
      <c r="K526" s="1" t="s">
        <v>1940</v>
      </c>
      <c r="L526" t="s">
        <v>793</v>
      </c>
      <c r="M526" s="1" t="s">
        <v>792</v>
      </c>
      <c r="N526" s="1" t="s">
        <v>725</v>
      </c>
      <c r="Q526" s="1" t="s">
        <v>724</v>
      </c>
      <c r="S526" s="1" t="s">
        <v>1905</v>
      </c>
    </row>
    <row r="527" spans="1:19" x14ac:dyDescent="0.25">
      <c r="A527" s="1" t="s">
        <v>308</v>
      </c>
      <c r="B527" s="1" t="s">
        <v>308</v>
      </c>
      <c r="C527" s="1">
        <v>1</v>
      </c>
      <c r="D527" s="1">
        <v>2</v>
      </c>
      <c r="E527" s="1" t="s">
        <v>1944</v>
      </c>
      <c r="F527" s="1" t="s">
        <v>729</v>
      </c>
      <c r="G527" s="1" t="s">
        <v>1959</v>
      </c>
      <c r="H527" s="1" t="str">
        <f t="shared" si="8"/>
        <v>prc_hicp_midx_FUEL</v>
      </c>
      <c r="I527" s="1" t="s">
        <v>728</v>
      </c>
      <c r="K527" s="1" t="s">
        <v>1940</v>
      </c>
      <c r="L527" t="s">
        <v>791</v>
      </c>
      <c r="M527" s="1" t="s">
        <v>790</v>
      </c>
      <c r="N527" s="1" t="s">
        <v>725</v>
      </c>
      <c r="Q527" s="1" t="s">
        <v>724</v>
      </c>
      <c r="S527" s="1" t="s">
        <v>1905</v>
      </c>
    </row>
    <row r="528" spans="1:19" x14ac:dyDescent="0.25">
      <c r="A528" s="1" t="s">
        <v>308</v>
      </c>
      <c r="B528" s="1" t="s">
        <v>308</v>
      </c>
      <c r="C528" s="1">
        <v>1</v>
      </c>
      <c r="D528" s="1">
        <v>2</v>
      </c>
      <c r="E528" s="1" t="s">
        <v>1944</v>
      </c>
      <c r="F528" s="1" t="s">
        <v>729</v>
      </c>
      <c r="G528" s="1" t="s">
        <v>1959</v>
      </c>
      <c r="H528" s="1" t="str">
        <f t="shared" si="8"/>
        <v>prc_hicp_midx_GD</v>
      </c>
      <c r="I528" s="1" t="s">
        <v>728</v>
      </c>
      <c r="K528" s="1" t="s">
        <v>1940</v>
      </c>
      <c r="L528" t="s">
        <v>789</v>
      </c>
      <c r="M528" s="1" t="s">
        <v>788</v>
      </c>
      <c r="N528" s="1" t="s">
        <v>725</v>
      </c>
      <c r="Q528" s="1" t="s">
        <v>724</v>
      </c>
      <c r="S528" s="1" t="s">
        <v>1905</v>
      </c>
    </row>
    <row r="529" spans="1:19" x14ac:dyDescent="0.25">
      <c r="A529" s="1" t="s">
        <v>308</v>
      </c>
      <c r="B529" s="1" t="s">
        <v>308</v>
      </c>
      <c r="C529" s="1">
        <v>1</v>
      </c>
      <c r="D529" s="1">
        <v>2</v>
      </c>
      <c r="E529" s="1" t="s">
        <v>1944</v>
      </c>
      <c r="F529" s="1" t="s">
        <v>729</v>
      </c>
      <c r="G529" s="1" t="s">
        <v>1959</v>
      </c>
      <c r="H529" s="1" t="str">
        <f t="shared" si="8"/>
        <v>prc_hicp_midx_IGD</v>
      </c>
      <c r="I529" s="1" t="s">
        <v>728</v>
      </c>
      <c r="K529" s="1" t="s">
        <v>1940</v>
      </c>
      <c r="L529" t="s">
        <v>787</v>
      </c>
      <c r="M529" s="1" t="s">
        <v>786</v>
      </c>
      <c r="N529" s="1" t="s">
        <v>725</v>
      </c>
      <c r="Q529" s="1" t="s">
        <v>724</v>
      </c>
      <c r="S529" s="1" t="s">
        <v>1905</v>
      </c>
    </row>
    <row r="530" spans="1:19" x14ac:dyDescent="0.25">
      <c r="A530" s="1" t="s">
        <v>308</v>
      </c>
      <c r="B530" s="1" t="s">
        <v>308</v>
      </c>
      <c r="C530" s="1">
        <v>1</v>
      </c>
      <c r="D530" s="1">
        <v>2</v>
      </c>
      <c r="E530" s="1" t="s">
        <v>1944</v>
      </c>
      <c r="F530" s="1" t="s">
        <v>729</v>
      </c>
      <c r="G530" s="1" t="s">
        <v>1959</v>
      </c>
      <c r="H530" s="1" t="str">
        <f t="shared" si="8"/>
        <v>prc_hicp_midx_IGD_NNRG</v>
      </c>
      <c r="I530" s="1" t="s">
        <v>728</v>
      </c>
      <c r="K530" s="1" t="s">
        <v>1940</v>
      </c>
      <c r="L530" t="s">
        <v>785</v>
      </c>
      <c r="M530" s="1" t="s">
        <v>784</v>
      </c>
      <c r="N530" s="1" t="s">
        <v>725</v>
      </c>
      <c r="Q530" s="1" t="s">
        <v>724</v>
      </c>
      <c r="S530" s="1" t="s">
        <v>1905</v>
      </c>
    </row>
    <row r="531" spans="1:19" x14ac:dyDescent="0.25">
      <c r="A531" s="1" t="s">
        <v>308</v>
      </c>
      <c r="B531" s="1" t="s">
        <v>308</v>
      </c>
      <c r="C531" s="1">
        <v>1</v>
      </c>
      <c r="D531" s="1">
        <v>2</v>
      </c>
      <c r="E531" s="1" t="s">
        <v>1944</v>
      </c>
      <c r="F531" s="1" t="s">
        <v>729</v>
      </c>
      <c r="G531" s="1" t="s">
        <v>1959</v>
      </c>
      <c r="H531" s="1" t="str">
        <f t="shared" si="8"/>
        <v>prc_hicp_midx_IGD_NNRG_D</v>
      </c>
      <c r="I531" s="1" t="s">
        <v>728</v>
      </c>
      <c r="K531" s="1" t="s">
        <v>1940</v>
      </c>
      <c r="L531" t="s">
        <v>783</v>
      </c>
      <c r="M531" s="1" t="s">
        <v>782</v>
      </c>
      <c r="N531" s="1" t="s">
        <v>725</v>
      </c>
      <c r="Q531" s="1" t="s">
        <v>724</v>
      </c>
      <c r="S531" s="1" t="s">
        <v>1905</v>
      </c>
    </row>
    <row r="532" spans="1:19" x14ac:dyDescent="0.25">
      <c r="A532" s="1" t="s">
        <v>308</v>
      </c>
      <c r="B532" s="1" t="s">
        <v>308</v>
      </c>
      <c r="C532" s="1">
        <v>1</v>
      </c>
      <c r="D532" s="1">
        <v>2</v>
      </c>
      <c r="E532" s="1" t="s">
        <v>1944</v>
      </c>
      <c r="F532" s="1" t="s">
        <v>729</v>
      </c>
      <c r="G532" s="1" t="s">
        <v>1959</v>
      </c>
      <c r="H532" s="1" t="str">
        <f t="shared" si="8"/>
        <v>prc_hicp_midx_IGD_NNRG_ND</v>
      </c>
      <c r="I532" s="1" t="s">
        <v>728</v>
      </c>
      <c r="K532" s="1" t="s">
        <v>1940</v>
      </c>
      <c r="L532" t="s">
        <v>781</v>
      </c>
      <c r="M532" s="1" t="s">
        <v>780</v>
      </c>
      <c r="N532" s="1" t="s">
        <v>725</v>
      </c>
      <c r="Q532" s="1" t="s">
        <v>724</v>
      </c>
      <c r="S532" s="1" t="s">
        <v>1905</v>
      </c>
    </row>
    <row r="533" spans="1:19" x14ac:dyDescent="0.25">
      <c r="A533" s="1" t="s">
        <v>308</v>
      </c>
      <c r="B533" s="1" t="s">
        <v>308</v>
      </c>
      <c r="C533" s="1">
        <v>1</v>
      </c>
      <c r="D533" s="1">
        <v>2</v>
      </c>
      <c r="E533" s="1" t="s">
        <v>1944</v>
      </c>
      <c r="F533" s="1" t="s">
        <v>729</v>
      </c>
      <c r="G533" s="1" t="s">
        <v>1959</v>
      </c>
      <c r="H533" s="1" t="str">
        <f t="shared" si="8"/>
        <v>prc_hicp_midx_IGD_NNRG_SD</v>
      </c>
      <c r="I533" s="1" t="s">
        <v>728</v>
      </c>
      <c r="K533" s="1" t="s">
        <v>1940</v>
      </c>
      <c r="L533" t="s">
        <v>779</v>
      </c>
      <c r="M533" s="1" t="s">
        <v>778</v>
      </c>
      <c r="N533" s="1" t="s">
        <v>725</v>
      </c>
      <c r="Q533" s="1" t="s">
        <v>724</v>
      </c>
      <c r="S533" s="1" t="s">
        <v>1905</v>
      </c>
    </row>
    <row r="534" spans="1:19" x14ac:dyDescent="0.25">
      <c r="A534" s="1" t="s">
        <v>308</v>
      </c>
      <c r="B534" s="1" t="s">
        <v>308</v>
      </c>
      <c r="C534" s="1">
        <v>1</v>
      </c>
      <c r="D534" s="1">
        <v>2</v>
      </c>
      <c r="E534" s="1" t="s">
        <v>1944</v>
      </c>
      <c r="F534" s="1" t="s">
        <v>729</v>
      </c>
      <c r="G534" s="1" t="s">
        <v>1959</v>
      </c>
      <c r="H534" s="1" t="str">
        <f t="shared" si="8"/>
        <v>prc_hicp_midx_NRG</v>
      </c>
      <c r="I534" s="1" t="s">
        <v>728</v>
      </c>
      <c r="K534" s="1" t="s">
        <v>1940</v>
      </c>
      <c r="L534" t="s">
        <v>777</v>
      </c>
      <c r="M534" s="1" t="s">
        <v>776</v>
      </c>
      <c r="N534" s="1" t="s">
        <v>725</v>
      </c>
      <c r="Q534" s="1" t="s">
        <v>724</v>
      </c>
      <c r="S534" s="1" t="s">
        <v>1905</v>
      </c>
    </row>
    <row r="535" spans="1:19" x14ac:dyDescent="0.25">
      <c r="A535" s="1" t="s">
        <v>308</v>
      </c>
      <c r="B535" s="1" t="s">
        <v>308</v>
      </c>
      <c r="C535" s="1">
        <v>1</v>
      </c>
      <c r="D535" s="1">
        <v>2</v>
      </c>
      <c r="E535" s="1" t="s">
        <v>1944</v>
      </c>
      <c r="F535" s="1" t="s">
        <v>729</v>
      </c>
      <c r="G535" s="1" t="s">
        <v>1959</v>
      </c>
      <c r="H535" s="1" t="str">
        <f t="shared" si="8"/>
        <v>prc_hicp_midx_NRG_FOOD_NP</v>
      </c>
      <c r="I535" s="1" t="s">
        <v>728</v>
      </c>
      <c r="K535" s="1" t="s">
        <v>1940</v>
      </c>
      <c r="L535" t="s">
        <v>775</v>
      </c>
      <c r="M535" s="1" t="s">
        <v>774</v>
      </c>
      <c r="N535" s="1" t="s">
        <v>725</v>
      </c>
      <c r="Q535" s="1" t="s">
        <v>724</v>
      </c>
      <c r="S535" s="1" t="s">
        <v>1905</v>
      </c>
    </row>
    <row r="536" spans="1:19" x14ac:dyDescent="0.25">
      <c r="A536" s="1" t="s">
        <v>308</v>
      </c>
      <c r="B536" s="1" t="s">
        <v>308</v>
      </c>
      <c r="C536" s="1">
        <v>1</v>
      </c>
      <c r="D536" s="1">
        <v>2</v>
      </c>
      <c r="E536" s="1" t="s">
        <v>1944</v>
      </c>
      <c r="F536" s="1" t="s">
        <v>729</v>
      </c>
      <c r="G536" s="1" t="s">
        <v>1959</v>
      </c>
      <c r="H536" s="1" t="str">
        <f t="shared" si="8"/>
        <v>prc_hicp_midx_NRG_FOOD_S</v>
      </c>
      <c r="I536" s="1" t="s">
        <v>728</v>
      </c>
      <c r="K536" s="1" t="s">
        <v>1940</v>
      </c>
      <c r="L536" t="s">
        <v>773</v>
      </c>
      <c r="M536" s="1" t="s">
        <v>772</v>
      </c>
      <c r="N536" s="1" t="s">
        <v>725</v>
      </c>
      <c r="Q536" s="1" t="s">
        <v>724</v>
      </c>
      <c r="S536" s="1" t="s">
        <v>1905</v>
      </c>
    </row>
    <row r="537" spans="1:19" x14ac:dyDescent="0.25">
      <c r="A537" s="1" t="s">
        <v>308</v>
      </c>
      <c r="B537" s="1" t="s">
        <v>308</v>
      </c>
      <c r="C537" s="1">
        <v>1</v>
      </c>
      <c r="D537" s="1">
        <v>2</v>
      </c>
      <c r="E537" s="1" t="s">
        <v>1944</v>
      </c>
      <c r="F537" s="1" t="s">
        <v>729</v>
      </c>
      <c r="G537" s="1" t="s">
        <v>1959</v>
      </c>
      <c r="H537" s="1" t="str">
        <f t="shared" si="8"/>
        <v>prc_hicp_midx_SERV</v>
      </c>
      <c r="I537" s="1" t="s">
        <v>728</v>
      </c>
      <c r="K537" s="1" t="s">
        <v>1940</v>
      </c>
      <c r="L537" t="s">
        <v>771</v>
      </c>
      <c r="M537" s="1" t="s">
        <v>770</v>
      </c>
      <c r="N537" s="1" t="s">
        <v>725</v>
      </c>
      <c r="Q537" s="1" t="s">
        <v>724</v>
      </c>
      <c r="S537" s="1" t="s">
        <v>1905</v>
      </c>
    </row>
    <row r="538" spans="1:19" x14ac:dyDescent="0.25">
      <c r="A538" s="1" t="s">
        <v>308</v>
      </c>
      <c r="B538" s="1" t="s">
        <v>308</v>
      </c>
      <c r="C538" s="1">
        <v>1</v>
      </c>
      <c r="D538" s="1">
        <v>2</v>
      </c>
      <c r="E538" s="1" t="s">
        <v>1944</v>
      </c>
      <c r="F538" s="1" t="s">
        <v>729</v>
      </c>
      <c r="G538" s="1" t="s">
        <v>1959</v>
      </c>
      <c r="H538" s="1" t="str">
        <f t="shared" si="8"/>
        <v>prc_hicp_midx_SERV_COM</v>
      </c>
      <c r="I538" s="1" t="s">
        <v>728</v>
      </c>
      <c r="K538" s="1" t="s">
        <v>1940</v>
      </c>
      <c r="L538" t="s">
        <v>769</v>
      </c>
      <c r="M538" s="1" t="s">
        <v>768</v>
      </c>
      <c r="N538" s="1" t="s">
        <v>725</v>
      </c>
      <c r="Q538" s="1" t="s">
        <v>724</v>
      </c>
      <c r="S538" s="1" t="s">
        <v>1905</v>
      </c>
    </row>
    <row r="539" spans="1:19" x14ac:dyDescent="0.25">
      <c r="A539" s="1" t="s">
        <v>308</v>
      </c>
      <c r="B539" s="1" t="s">
        <v>308</v>
      </c>
      <c r="C539" s="1">
        <v>1</v>
      </c>
      <c r="D539" s="1">
        <v>2</v>
      </c>
      <c r="E539" s="1" t="s">
        <v>1944</v>
      </c>
      <c r="F539" s="1" t="s">
        <v>729</v>
      </c>
      <c r="G539" s="1" t="s">
        <v>1959</v>
      </c>
      <c r="H539" s="1" t="str">
        <f t="shared" si="8"/>
        <v>prc_hicp_midx_SERV_HOUS</v>
      </c>
      <c r="I539" s="1" t="s">
        <v>728</v>
      </c>
      <c r="K539" s="1" t="s">
        <v>1940</v>
      </c>
      <c r="L539" t="s">
        <v>767</v>
      </c>
      <c r="M539" s="1" t="s">
        <v>766</v>
      </c>
      <c r="N539" s="1" t="s">
        <v>725</v>
      </c>
      <c r="Q539" s="1" t="s">
        <v>724</v>
      </c>
      <c r="S539" s="1" t="s">
        <v>1905</v>
      </c>
    </row>
    <row r="540" spans="1:19" x14ac:dyDescent="0.25">
      <c r="A540" s="1" t="s">
        <v>308</v>
      </c>
      <c r="B540" s="1" t="s">
        <v>308</v>
      </c>
      <c r="C540" s="1">
        <v>1</v>
      </c>
      <c r="D540" s="1">
        <v>2</v>
      </c>
      <c r="E540" s="1" t="s">
        <v>1944</v>
      </c>
      <c r="F540" s="1" t="s">
        <v>729</v>
      </c>
      <c r="G540" s="1" t="s">
        <v>1959</v>
      </c>
      <c r="H540" s="1" t="str">
        <f t="shared" si="8"/>
        <v>prc_hicp_midx_SERV_MSC</v>
      </c>
      <c r="I540" s="1" t="s">
        <v>728</v>
      </c>
      <c r="K540" s="1" t="s">
        <v>1940</v>
      </c>
      <c r="L540" t="s">
        <v>765</v>
      </c>
      <c r="M540" s="1" t="s">
        <v>764</v>
      </c>
      <c r="N540" s="1" t="s">
        <v>725</v>
      </c>
      <c r="Q540" s="1" t="s">
        <v>724</v>
      </c>
      <c r="S540" s="1" t="s">
        <v>1905</v>
      </c>
    </row>
    <row r="541" spans="1:19" x14ac:dyDescent="0.25">
      <c r="A541" s="1" t="s">
        <v>308</v>
      </c>
      <c r="B541" s="1" t="s">
        <v>308</v>
      </c>
      <c r="C541" s="1">
        <v>1</v>
      </c>
      <c r="D541" s="1">
        <v>2</v>
      </c>
      <c r="E541" s="1" t="s">
        <v>1944</v>
      </c>
      <c r="F541" s="1" t="s">
        <v>729</v>
      </c>
      <c r="G541" s="1" t="s">
        <v>1959</v>
      </c>
      <c r="H541" s="1" t="str">
        <f t="shared" si="8"/>
        <v>prc_hicp_midx_SERV_REC</v>
      </c>
      <c r="I541" s="1" t="s">
        <v>728</v>
      </c>
      <c r="K541" s="1" t="s">
        <v>1940</v>
      </c>
      <c r="L541" t="s">
        <v>763</v>
      </c>
      <c r="M541" s="1" t="s">
        <v>762</v>
      </c>
      <c r="N541" s="1" t="s">
        <v>725</v>
      </c>
      <c r="Q541" s="1" t="s">
        <v>724</v>
      </c>
      <c r="S541" s="1" t="s">
        <v>1905</v>
      </c>
    </row>
    <row r="542" spans="1:19" x14ac:dyDescent="0.25">
      <c r="A542" s="1" t="s">
        <v>308</v>
      </c>
      <c r="B542" s="1" t="s">
        <v>308</v>
      </c>
      <c r="C542" s="1">
        <v>1</v>
      </c>
      <c r="D542" s="1">
        <v>2</v>
      </c>
      <c r="E542" s="1" t="s">
        <v>1944</v>
      </c>
      <c r="F542" s="1" t="s">
        <v>729</v>
      </c>
      <c r="G542" s="1" t="s">
        <v>1959</v>
      </c>
      <c r="H542" s="1" t="str">
        <f t="shared" si="8"/>
        <v>prc_hicp_midx_SERV_REC_HOA</v>
      </c>
      <c r="I542" s="1" t="s">
        <v>728</v>
      </c>
      <c r="K542" s="1" t="s">
        <v>1940</v>
      </c>
      <c r="L542" t="s">
        <v>761</v>
      </c>
      <c r="M542" s="1" t="s">
        <v>760</v>
      </c>
      <c r="N542" s="1" t="s">
        <v>725</v>
      </c>
      <c r="Q542" s="1" t="s">
        <v>724</v>
      </c>
      <c r="S542" s="1" t="s">
        <v>1905</v>
      </c>
    </row>
    <row r="543" spans="1:19" x14ac:dyDescent="0.25">
      <c r="A543" s="1" t="s">
        <v>308</v>
      </c>
      <c r="B543" s="1" t="s">
        <v>308</v>
      </c>
      <c r="C543" s="1">
        <v>1</v>
      </c>
      <c r="D543" s="1">
        <v>2</v>
      </c>
      <c r="E543" s="1" t="s">
        <v>1944</v>
      </c>
      <c r="F543" s="1" t="s">
        <v>729</v>
      </c>
      <c r="G543" s="1" t="s">
        <v>1959</v>
      </c>
      <c r="H543" s="1" t="str">
        <f t="shared" si="8"/>
        <v>prc_hicp_midx_SERV_REC_X_HOA</v>
      </c>
      <c r="I543" s="1" t="s">
        <v>728</v>
      </c>
      <c r="K543" s="1" t="s">
        <v>1940</v>
      </c>
      <c r="L543" t="s">
        <v>759</v>
      </c>
      <c r="M543" s="1" t="s">
        <v>758</v>
      </c>
      <c r="N543" s="1" t="s">
        <v>725</v>
      </c>
      <c r="Q543" s="1" t="s">
        <v>724</v>
      </c>
      <c r="S543" s="1" t="s">
        <v>1905</v>
      </c>
    </row>
    <row r="544" spans="1:19" x14ac:dyDescent="0.25">
      <c r="A544" s="1" t="s">
        <v>308</v>
      </c>
      <c r="B544" s="1" t="s">
        <v>308</v>
      </c>
      <c r="C544" s="1">
        <v>1</v>
      </c>
      <c r="D544" s="1">
        <v>2</v>
      </c>
      <c r="E544" s="1" t="s">
        <v>1944</v>
      </c>
      <c r="F544" s="1" t="s">
        <v>729</v>
      </c>
      <c r="G544" s="1" t="s">
        <v>1959</v>
      </c>
      <c r="H544" s="1" t="str">
        <f t="shared" si="8"/>
        <v>prc_hicp_midx_SERV_TRA</v>
      </c>
      <c r="I544" s="1" t="s">
        <v>728</v>
      </c>
      <c r="K544" s="1" t="s">
        <v>1940</v>
      </c>
      <c r="L544" t="s">
        <v>757</v>
      </c>
      <c r="M544" s="1" t="s">
        <v>756</v>
      </c>
      <c r="N544" s="1" t="s">
        <v>725</v>
      </c>
      <c r="Q544" s="1" t="s">
        <v>724</v>
      </c>
      <c r="S544" s="1" t="s">
        <v>1905</v>
      </c>
    </row>
    <row r="545" spans="1:19" x14ac:dyDescent="0.25">
      <c r="A545" s="1" t="s">
        <v>308</v>
      </c>
      <c r="B545" s="1" t="s">
        <v>308</v>
      </c>
      <c r="C545" s="1">
        <v>1</v>
      </c>
      <c r="D545" s="1">
        <v>2</v>
      </c>
      <c r="E545" s="1" t="s">
        <v>1944</v>
      </c>
      <c r="F545" s="1" t="s">
        <v>729</v>
      </c>
      <c r="G545" s="1" t="s">
        <v>1959</v>
      </c>
      <c r="H545" s="1" t="str">
        <f t="shared" si="8"/>
        <v>prc_hicp_midx_TOT_X_ALC_TBC</v>
      </c>
      <c r="I545" s="1" t="s">
        <v>728</v>
      </c>
      <c r="K545" s="1" t="s">
        <v>1940</v>
      </c>
      <c r="L545" t="s">
        <v>755</v>
      </c>
      <c r="M545" s="1" t="s">
        <v>754</v>
      </c>
      <c r="N545" s="1" t="s">
        <v>725</v>
      </c>
      <c r="Q545" s="1" t="s">
        <v>724</v>
      </c>
      <c r="S545" s="1" t="s">
        <v>1905</v>
      </c>
    </row>
    <row r="546" spans="1:19" x14ac:dyDescent="0.25">
      <c r="A546" s="1" t="s">
        <v>308</v>
      </c>
      <c r="B546" s="1" t="s">
        <v>308</v>
      </c>
      <c r="C546" s="1">
        <v>1</v>
      </c>
      <c r="D546" s="1">
        <v>2</v>
      </c>
      <c r="E546" s="1" t="s">
        <v>1944</v>
      </c>
      <c r="F546" s="1" t="s">
        <v>729</v>
      </c>
      <c r="G546" s="1" t="s">
        <v>1959</v>
      </c>
      <c r="H546" s="1" t="str">
        <f t="shared" si="8"/>
        <v>prc_hicp_midx_TOT_X_AP</v>
      </c>
      <c r="I546" s="1" t="s">
        <v>728</v>
      </c>
      <c r="K546" s="1" t="s">
        <v>1940</v>
      </c>
      <c r="L546" t="s">
        <v>753</v>
      </c>
      <c r="M546" s="1" t="s">
        <v>752</v>
      </c>
      <c r="N546" s="1" t="s">
        <v>725</v>
      </c>
      <c r="Q546" s="1" t="s">
        <v>724</v>
      </c>
      <c r="S546" s="1" t="s">
        <v>1905</v>
      </c>
    </row>
    <row r="547" spans="1:19" x14ac:dyDescent="0.25">
      <c r="A547" s="1" t="s">
        <v>308</v>
      </c>
      <c r="B547" s="1" t="s">
        <v>308</v>
      </c>
      <c r="C547" s="1">
        <v>1</v>
      </c>
      <c r="D547" s="1">
        <v>2</v>
      </c>
      <c r="E547" s="1" t="s">
        <v>1944</v>
      </c>
      <c r="F547" s="1" t="s">
        <v>729</v>
      </c>
      <c r="G547" s="1" t="s">
        <v>1959</v>
      </c>
      <c r="H547" s="1" t="str">
        <f t="shared" si="8"/>
        <v>prc_hicp_midx_TOT_X_APF</v>
      </c>
      <c r="I547" s="1" t="s">
        <v>728</v>
      </c>
      <c r="K547" s="1" t="s">
        <v>1940</v>
      </c>
      <c r="L547" t="s">
        <v>751</v>
      </c>
      <c r="M547" s="1" t="s">
        <v>750</v>
      </c>
      <c r="N547" s="1" t="s">
        <v>725</v>
      </c>
      <c r="Q547" s="1" t="s">
        <v>724</v>
      </c>
      <c r="S547" s="1" t="s">
        <v>1905</v>
      </c>
    </row>
    <row r="548" spans="1:19" x14ac:dyDescent="0.25">
      <c r="A548" s="1" t="s">
        <v>308</v>
      </c>
      <c r="B548" s="1" t="s">
        <v>308</v>
      </c>
      <c r="C548" s="1">
        <v>1</v>
      </c>
      <c r="D548" s="1">
        <v>2</v>
      </c>
      <c r="E548" s="1" t="s">
        <v>1944</v>
      </c>
      <c r="F548" s="1" t="s">
        <v>729</v>
      </c>
      <c r="G548" s="1" t="s">
        <v>1959</v>
      </c>
      <c r="H548" s="1" t="str">
        <f t="shared" si="8"/>
        <v>prc_hicp_midx_TOT_X_APM</v>
      </c>
      <c r="I548" s="1" t="s">
        <v>728</v>
      </c>
      <c r="K548" s="1" t="s">
        <v>1940</v>
      </c>
      <c r="L548" t="s">
        <v>749</v>
      </c>
      <c r="M548" s="1" t="s">
        <v>748</v>
      </c>
      <c r="N548" s="1" t="s">
        <v>725</v>
      </c>
      <c r="Q548" s="1" t="s">
        <v>724</v>
      </c>
      <c r="S548" s="1" t="s">
        <v>1905</v>
      </c>
    </row>
    <row r="549" spans="1:19" x14ac:dyDescent="0.25">
      <c r="A549" s="1" t="s">
        <v>308</v>
      </c>
      <c r="B549" s="1" t="s">
        <v>308</v>
      </c>
      <c r="C549" s="1">
        <v>1</v>
      </c>
      <c r="D549" s="1">
        <v>2</v>
      </c>
      <c r="E549" s="1" t="s">
        <v>1944</v>
      </c>
      <c r="F549" s="1" t="s">
        <v>729</v>
      </c>
      <c r="G549" s="1" t="s">
        <v>1959</v>
      </c>
      <c r="H549" s="1" t="str">
        <f t="shared" si="8"/>
        <v>prc_hicp_midx_TOT_X_EDUC_HLTH_SPR</v>
      </c>
      <c r="I549" s="1" t="s">
        <v>728</v>
      </c>
      <c r="K549" s="1" t="s">
        <v>1940</v>
      </c>
      <c r="L549" t="s">
        <v>747</v>
      </c>
      <c r="M549" s="1" t="s">
        <v>746</v>
      </c>
      <c r="N549" s="1" t="s">
        <v>725</v>
      </c>
      <c r="Q549" s="1" t="s">
        <v>724</v>
      </c>
      <c r="S549" s="1" t="s">
        <v>1905</v>
      </c>
    </row>
    <row r="550" spans="1:19" x14ac:dyDescent="0.25">
      <c r="A550" s="1" t="s">
        <v>308</v>
      </c>
      <c r="B550" s="1" t="s">
        <v>308</v>
      </c>
      <c r="C550" s="1">
        <v>1</v>
      </c>
      <c r="D550" s="1">
        <v>2</v>
      </c>
      <c r="E550" s="1" t="s">
        <v>1944</v>
      </c>
      <c r="F550" s="1" t="s">
        <v>729</v>
      </c>
      <c r="G550" s="1" t="s">
        <v>1959</v>
      </c>
      <c r="H550" s="1" t="str">
        <f t="shared" si="8"/>
        <v>prc_hicp_midx_TOT_X_FOOD_S</v>
      </c>
      <c r="I550" s="1" t="s">
        <v>728</v>
      </c>
      <c r="K550" s="1" t="s">
        <v>1940</v>
      </c>
      <c r="L550" t="s">
        <v>745</v>
      </c>
      <c r="M550" s="1" t="s">
        <v>744</v>
      </c>
      <c r="N550" s="1" t="s">
        <v>725</v>
      </c>
      <c r="Q550" s="1" t="s">
        <v>724</v>
      </c>
      <c r="S550" s="1" t="s">
        <v>1905</v>
      </c>
    </row>
    <row r="551" spans="1:19" x14ac:dyDescent="0.25">
      <c r="A551" s="1" t="s">
        <v>308</v>
      </c>
      <c r="B551" s="1" t="s">
        <v>308</v>
      </c>
      <c r="C551" s="1">
        <v>1</v>
      </c>
      <c r="D551" s="1">
        <v>2</v>
      </c>
      <c r="E551" s="1" t="s">
        <v>1944</v>
      </c>
      <c r="F551" s="1" t="s">
        <v>729</v>
      </c>
      <c r="G551" s="1" t="s">
        <v>1959</v>
      </c>
      <c r="H551" s="1" t="str">
        <f t="shared" si="8"/>
        <v>prc_hicp_midx_TOT_X_FROOPP</v>
      </c>
      <c r="I551" s="1" t="s">
        <v>728</v>
      </c>
      <c r="K551" s="1" t="s">
        <v>1940</v>
      </c>
      <c r="L551" t="s">
        <v>743</v>
      </c>
      <c r="M551" s="1" t="s">
        <v>742</v>
      </c>
      <c r="N551" s="1" t="s">
        <v>725</v>
      </c>
      <c r="Q551" s="1" t="s">
        <v>724</v>
      </c>
      <c r="S551" s="1" t="s">
        <v>1905</v>
      </c>
    </row>
    <row r="552" spans="1:19" x14ac:dyDescent="0.25">
      <c r="A552" s="1" t="s">
        <v>308</v>
      </c>
      <c r="B552" s="1" t="s">
        <v>308</v>
      </c>
      <c r="C552" s="1">
        <v>1</v>
      </c>
      <c r="D552" s="1">
        <v>2</v>
      </c>
      <c r="E552" s="1" t="s">
        <v>1944</v>
      </c>
      <c r="F552" s="1" t="s">
        <v>729</v>
      </c>
      <c r="G552" s="1" t="s">
        <v>1959</v>
      </c>
      <c r="H552" s="1" t="str">
        <f t="shared" si="8"/>
        <v>prc_hicp_midx_TOT_X_FUEL</v>
      </c>
      <c r="I552" s="1" t="s">
        <v>728</v>
      </c>
      <c r="K552" s="1" t="s">
        <v>1940</v>
      </c>
      <c r="L552" t="s">
        <v>741</v>
      </c>
      <c r="M552" s="1" t="s">
        <v>740</v>
      </c>
      <c r="N552" s="1" t="s">
        <v>725</v>
      </c>
      <c r="Q552" s="1" t="s">
        <v>724</v>
      </c>
      <c r="S552" s="1" t="s">
        <v>1905</v>
      </c>
    </row>
    <row r="553" spans="1:19" x14ac:dyDescent="0.25">
      <c r="A553" s="1" t="s">
        <v>308</v>
      </c>
      <c r="B553" s="1" t="s">
        <v>308</v>
      </c>
      <c r="C553" s="1">
        <v>1</v>
      </c>
      <c r="D553" s="1">
        <v>2</v>
      </c>
      <c r="E553" s="1" t="s">
        <v>1944</v>
      </c>
      <c r="F553" s="1" t="s">
        <v>729</v>
      </c>
      <c r="G553" s="1" t="s">
        <v>1959</v>
      </c>
      <c r="H553" s="1" t="str">
        <f t="shared" si="8"/>
        <v>prc_hicp_midx_TOT_X_HOUS</v>
      </c>
      <c r="I553" s="1" t="s">
        <v>728</v>
      </c>
      <c r="K553" s="1" t="s">
        <v>1940</v>
      </c>
      <c r="L553" t="s">
        <v>739</v>
      </c>
      <c r="M553" s="1" t="s">
        <v>738</v>
      </c>
      <c r="N553" s="1" t="s">
        <v>725</v>
      </c>
      <c r="Q553" s="1" t="s">
        <v>724</v>
      </c>
      <c r="S553" s="1" t="s">
        <v>1905</v>
      </c>
    </row>
    <row r="554" spans="1:19" x14ac:dyDescent="0.25">
      <c r="A554" s="1" t="s">
        <v>308</v>
      </c>
      <c r="B554" s="1" t="s">
        <v>308</v>
      </c>
      <c r="C554" s="1">
        <v>1</v>
      </c>
      <c r="D554" s="1">
        <v>2</v>
      </c>
      <c r="E554" s="1" t="s">
        <v>1944</v>
      </c>
      <c r="F554" s="1" t="s">
        <v>729</v>
      </c>
      <c r="G554" s="1" t="s">
        <v>1959</v>
      </c>
      <c r="H554" s="1" t="str">
        <f t="shared" si="8"/>
        <v>prc_hicp_midx_TOT_X_NRG</v>
      </c>
      <c r="I554" s="1" t="s">
        <v>728</v>
      </c>
      <c r="K554" s="1" t="s">
        <v>1940</v>
      </c>
      <c r="L554" t="s">
        <v>737</v>
      </c>
      <c r="M554" s="1" t="s">
        <v>736</v>
      </c>
      <c r="N554" s="1" t="s">
        <v>725</v>
      </c>
      <c r="Q554" s="1" t="s">
        <v>724</v>
      </c>
      <c r="S554" s="1" t="s">
        <v>1905</v>
      </c>
    </row>
    <row r="555" spans="1:19" x14ac:dyDescent="0.25">
      <c r="A555" s="1" t="s">
        <v>308</v>
      </c>
      <c r="B555" s="1" t="s">
        <v>308</v>
      </c>
      <c r="C555" s="1">
        <v>1</v>
      </c>
      <c r="D555" s="1">
        <v>2</v>
      </c>
      <c r="E555" s="1" t="s">
        <v>1944</v>
      </c>
      <c r="F555" s="1" t="s">
        <v>729</v>
      </c>
      <c r="G555" s="1" t="s">
        <v>1959</v>
      </c>
      <c r="H555" s="1" t="str">
        <f t="shared" si="8"/>
        <v>prc_hicp_midx_TOT_X_NRG_FOOD</v>
      </c>
      <c r="I555" s="1" t="s">
        <v>728</v>
      </c>
      <c r="K555" s="1" t="s">
        <v>1940</v>
      </c>
      <c r="L555" t="s">
        <v>735</v>
      </c>
      <c r="M555" s="1" t="s">
        <v>734</v>
      </c>
      <c r="N555" s="1" t="s">
        <v>725</v>
      </c>
      <c r="Q555" s="1" t="s">
        <v>724</v>
      </c>
      <c r="S555" s="1" t="s">
        <v>1905</v>
      </c>
    </row>
    <row r="556" spans="1:19" x14ac:dyDescent="0.25">
      <c r="A556" s="1" t="s">
        <v>308</v>
      </c>
      <c r="B556" s="1" t="s">
        <v>308</v>
      </c>
      <c r="C556" s="1">
        <v>1</v>
      </c>
      <c r="D556" s="1">
        <v>2</v>
      </c>
      <c r="E556" s="1" t="s">
        <v>1944</v>
      </c>
      <c r="F556" s="1" t="s">
        <v>729</v>
      </c>
      <c r="G556" s="1" t="s">
        <v>1959</v>
      </c>
      <c r="H556" s="1" t="str">
        <f t="shared" si="8"/>
        <v>prc_hicp_midx_TOT_X_NRG_FOOD_NP</v>
      </c>
      <c r="I556" s="1" t="s">
        <v>728</v>
      </c>
      <c r="K556" s="1" t="s">
        <v>1940</v>
      </c>
      <c r="L556" t="s">
        <v>733</v>
      </c>
      <c r="M556" s="1" t="s">
        <v>732</v>
      </c>
      <c r="N556" s="1" t="s">
        <v>725</v>
      </c>
      <c r="Q556" s="1" t="s">
        <v>724</v>
      </c>
      <c r="S556" s="1" t="s">
        <v>1905</v>
      </c>
    </row>
    <row r="557" spans="1:19" x14ac:dyDescent="0.25">
      <c r="A557" s="1" t="s">
        <v>308</v>
      </c>
      <c r="B557" s="1" t="s">
        <v>308</v>
      </c>
      <c r="C557" s="1">
        <v>1</v>
      </c>
      <c r="D557" s="1">
        <v>2</v>
      </c>
      <c r="E557" s="1" t="s">
        <v>1944</v>
      </c>
      <c r="F557" s="1" t="s">
        <v>729</v>
      </c>
      <c r="G557" s="1" t="s">
        <v>1959</v>
      </c>
      <c r="H557" s="1" t="str">
        <f t="shared" si="8"/>
        <v>prc_hicp_midx_TOT_X_NRG_FOOD_S</v>
      </c>
      <c r="I557" s="1" t="s">
        <v>728</v>
      </c>
      <c r="K557" s="1" t="s">
        <v>1940</v>
      </c>
      <c r="L557" t="s">
        <v>731</v>
      </c>
      <c r="M557" s="1" t="s">
        <v>730</v>
      </c>
      <c r="N557" s="1" t="s">
        <v>725</v>
      </c>
      <c r="Q557" s="1" t="s">
        <v>724</v>
      </c>
      <c r="S557" s="1" t="s">
        <v>1905</v>
      </c>
    </row>
    <row r="558" spans="1:19" x14ac:dyDescent="0.25">
      <c r="A558" s="1" t="s">
        <v>308</v>
      </c>
      <c r="B558" s="1" t="s">
        <v>308</v>
      </c>
      <c r="C558" s="1">
        <v>1</v>
      </c>
      <c r="D558" s="1">
        <v>2</v>
      </c>
      <c r="E558" s="1" t="s">
        <v>1944</v>
      </c>
      <c r="F558" s="1" t="s">
        <v>729</v>
      </c>
      <c r="G558" s="1" t="s">
        <v>1959</v>
      </c>
      <c r="H558" s="1" t="str">
        <f t="shared" si="8"/>
        <v>prc_hicp_midx_TOT_X_TBC</v>
      </c>
      <c r="I558" s="1" t="s">
        <v>728</v>
      </c>
      <c r="K558" s="1" t="s">
        <v>1940</v>
      </c>
      <c r="L558" t="s">
        <v>727</v>
      </c>
      <c r="M558" s="1" t="s">
        <v>726</v>
      </c>
      <c r="N558" s="1" t="s">
        <v>725</v>
      </c>
      <c r="Q558" s="1" t="s">
        <v>724</v>
      </c>
      <c r="S558" s="1" t="s">
        <v>1905</v>
      </c>
    </row>
    <row r="559" spans="1:19" x14ac:dyDescent="0.25">
      <c r="A559" s="1" t="s">
        <v>308</v>
      </c>
      <c r="B559" s="1" t="s">
        <v>308</v>
      </c>
      <c r="C559" s="1">
        <v>1</v>
      </c>
      <c r="D559" s="1">
        <v>2</v>
      </c>
      <c r="E559" s="1" t="s">
        <v>1944</v>
      </c>
      <c r="F559" s="1" t="s">
        <v>719</v>
      </c>
      <c r="G559" s="1" t="s">
        <v>2134</v>
      </c>
      <c r="H559" s="1" t="str">
        <f t="shared" si="8"/>
        <v>prc_hpi_q_DW_EXST</v>
      </c>
      <c r="I559" s="1" t="s">
        <v>718</v>
      </c>
      <c r="K559" s="1" t="s">
        <v>717</v>
      </c>
      <c r="L559" t="s">
        <v>723</v>
      </c>
      <c r="M559" s="1" t="s">
        <v>722</v>
      </c>
      <c r="N559" s="1" t="s">
        <v>714</v>
      </c>
      <c r="Q559" s="1" t="s">
        <v>713</v>
      </c>
      <c r="S559" s="1" t="s">
        <v>1905</v>
      </c>
    </row>
    <row r="560" spans="1:19" x14ac:dyDescent="0.25">
      <c r="A560" s="1" t="s">
        <v>308</v>
      </c>
      <c r="B560" s="1" t="s">
        <v>308</v>
      </c>
      <c r="C560" s="1">
        <v>1</v>
      </c>
      <c r="D560" s="1">
        <v>2</v>
      </c>
      <c r="E560" s="1" t="s">
        <v>1944</v>
      </c>
      <c r="F560" s="1" t="s">
        <v>719</v>
      </c>
      <c r="G560" s="1" t="s">
        <v>2134</v>
      </c>
      <c r="H560" s="1" t="str">
        <f t="shared" si="8"/>
        <v>prc_hpi_q_DW_NEW</v>
      </c>
      <c r="I560" s="1" t="s">
        <v>718</v>
      </c>
      <c r="K560" s="1" t="s">
        <v>717</v>
      </c>
      <c r="L560" t="s">
        <v>721</v>
      </c>
      <c r="M560" s="1" t="s">
        <v>720</v>
      </c>
      <c r="N560" s="1" t="s">
        <v>714</v>
      </c>
      <c r="Q560" s="1" t="s">
        <v>713</v>
      </c>
      <c r="S560" s="1" t="s">
        <v>1905</v>
      </c>
    </row>
    <row r="561" spans="1:19" x14ac:dyDescent="0.25">
      <c r="A561" s="1" t="s">
        <v>308</v>
      </c>
      <c r="B561" s="1" t="s">
        <v>308</v>
      </c>
      <c r="C561" s="1">
        <v>1</v>
      </c>
      <c r="D561" s="1">
        <v>2</v>
      </c>
      <c r="E561" s="1" t="s">
        <v>1944</v>
      </c>
      <c r="F561" s="1" t="s">
        <v>719</v>
      </c>
      <c r="G561" s="1" t="s">
        <v>2134</v>
      </c>
      <c r="H561" s="1" t="str">
        <f t="shared" si="8"/>
        <v>prc_hpi_q_TOTAL</v>
      </c>
      <c r="I561" s="1" t="s">
        <v>718</v>
      </c>
      <c r="K561" s="1" t="s">
        <v>717</v>
      </c>
      <c r="L561" t="s">
        <v>716</v>
      </c>
      <c r="M561" s="1" t="s">
        <v>715</v>
      </c>
      <c r="N561" s="1" t="s">
        <v>714</v>
      </c>
      <c r="Q561" s="1" t="s">
        <v>713</v>
      </c>
      <c r="S561" s="1" t="s">
        <v>1905</v>
      </c>
    </row>
  </sheetData>
  <autoFilter ref="A1:S561" xr:uid="{4E0F774E-502B-4B6E-AD1D-BFC337897B0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EFE5-1CF2-4490-8247-B50FC6DC0A70}">
  <dimension ref="A1:K352"/>
  <sheetViews>
    <sheetView workbookViewId="0">
      <selection sqref="A1:XFD1"/>
    </sheetView>
  </sheetViews>
  <sheetFormatPr defaultColWidth="9.140625" defaultRowHeight="15" x14ac:dyDescent="0.25"/>
  <cols>
    <col min="1" max="1" width="12" style="1" bestFit="1" customWidth="1"/>
    <col min="2" max="2" width="108.7109375" style="1" bestFit="1" customWidth="1"/>
    <col min="3" max="4" width="21.5703125" style="1" customWidth="1"/>
    <col min="5" max="5" width="17.5703125" style="1" bestFit="1" customWidth="1"/>
    <col min="6" max="6" width="27.140625" style="1" bestFit="1" customWidth="1"/>
    <col min="7" max="7" width="11.85546875" style="1" bestFit="1" customWidth="1"/>
    <col min="8" max="8" width="11.85546875" style="1" customWidth="1"/>
    <col min="9" max="9" width="23.5703125" style="1" bestFit="1" customWidth="1"/>
    <col min="10" max="10" width="141.7109375" style="1" bestFit="1" customWidth="1"/>
    <col min="11" max="11" width="8.7109375" customWidth="1"/>
    <col min="12" max="16384" width="9.140625" style="1"/>
  </cols>
  <sheetData>
    <row r="1" spans="1:11" s="2" customFormat="1" ht="12.75" x14ac:dyDescent="0.2">
      <c r="A1" s="2" t="s">
        <v>1939</v>
      </c>
      <c r="B1" s="2" t="s">
        <v>1938</v>
      </c>
    </row>
    <row r="2" spans="1:11" ht="12.75" x14ac:dyDescent="0.2">
      <c r="A2" s="1" t="s">
        <v>1937</v>
      </c>
      <c r="B2" s="1" t="s">
        <v>1936</v>
      </c>
      <c r="K2" s="1"/>
    </row>
    <row r="3" spans="1:11" ht="12.75" x14ac:dyDescent="0.2">
      <c r="A3" s="1" t="s">
        <v>1935</v>
      </c>
      <c r="B3" s="1" t="s">
        <v>1934</v>
      </c>
      <c r="K3" s="1"/>
    </row>
    <row r="4" spans="1:11" ht="12.75" x14ac:dyDescent="0.2">
      <c r="A4" s="1" t="s">
        <v>1933</v>
      </c>
      <c r="B4" s="1" t="s">
        <v>1932</v>
      </c>
      <c r="K4" s="1"/>
    </row>
    <row r="5" spans="1:11" ht="12.75" x14ac:dyDescent="0.2">
      <c r="A5" s="1" t="s">
        <v>1931</v>
      </c>
      <c r="B5" s="1" t="s">
        <v>1930</v>
      </c>
      <c r="K5" s="1"/>
    </row>
    <row r="6" spans="1:11" ht="12.75" x14ac:dyDescent="0.2">
      <c r="A6" s="1" t="s">
        <v>1929</v>
      </c>
      <c r="B6" s="1" t="s">
        <v>1928</v>
      </c>
      <c r="K6" s="1"/>
    </row>
    <row r="7" spans="1:11" ht="12.75" x14ac:dyDescent="0.2">
      <c r="A7" s="1" t="s">
        <v>1927</v>
      </c>
      <c r="B7" s="1" t="s">
        <v>1926</v>
      </c>
      <c r="K7" s="1"/>
    </row>
    <row r="8" spans="1:11" ht="12.75" x14ac:dyDescent="0.2">
      <c r="A8" s="1" t="s">
        <v>1925</v>
      </c>
      <c r="B8" s="1" t="s">
        <v>1924</v>
      </c>
      <c r="K8" s="1"/>
    </row>
    <row r="9" spans="1:11" ht="12.75" x14ac:dyDescent="0.2">
      <c r="A9" s="1" t="s">
        <v>1923</v>
      </c>
      <c r="B9" s="1" t="s">
        <v>1922</v>
      </c>
      <c r="K9" s="1"/>
    </row>
    <row r="10" spans="1:11" ht="12.75" x14ac:dyDescent="0.2">
      <c r="A10" s="1" t="s">
        <v>1921</v>
      </c>
      <c r="B10" s="1" t="s">
        <v>1920</v>
      </c>
      <c r="K10" s="1"/>
    </row>
    <row r="11" spans="1:11" ht="12.75" x14ac:dyDescent="0.2">
      <c r="A11" s="1" t="s">
        <v>1919</v>
      </c>
      <c r="B11" s="1" t="s">
        <v>1918</v>
      </c>
      <c r="K11" s="1"/>
    </row>
    <row r="12" spans="1:11" ht="12.75" x14ac:dyDescent="0.2">
      <c r="A12" s="1" t="s">
        <v>1917</v>
      </c>
      <c r="B12" s="1" t="s">
        <v>1916</v>
      </c>
      <c r="K12" s="1"/>
    </row>
    <row r="13" spans="1:11" ht="12.75" x14ac:dyDescent="0.2">
      <c r="A13" s="1" t="s">
        <v>1915</v>
      </c>
      <c r="B13" s="1" t="s">
        <v>1914</v>
      </c>
      <c r="K13" s="1"/>
    </row>
    <row r="14" spans="1:11" ht="12.75" x14ac:dyDescent="0.2">
      <c r="A14" s="1" t="s">
        <v>1913</v>
      </c>
      <c r="B14" s="1" t="s">
        <v>1912</v>
      </c>
      <c r="K14" s="1"/>
    </row>
    <row r="15" spans="1:11" ht="12.75" x14ac:dyDescent="0.2">
      <c r="A15" s="1" t="s">
        <v>1911</v>
      </c>
      <c r="B15" s="1" t="s">
        <v>1910</v>
      </c>
      <c r="K15" s="1"/>
    </row>
    <row r="16" spans="1:11" ht="12.75" x14ac:dyDescent="0.2">
      <c r="A16" s="1" t="s">
        <v>1909</v>
      </c>
      <c r="B16" s="1" t="s">
        <v>1908</v>
      </c>
      <c r="K16" s="1"/>
    </row>
    <row r="17" spans="1:11" ht="12.75" x14ac:dyDescent="0.2">
      <c r="A17" s="1" t="s">
        <v>1907</v>
      </c>
      <c r="B17" s="1" t="s">
        <v>1906</v>
      </c>
      <c r="K17" s="1"/>
    </row>
    <row r="18" spans="1:11" ht="12.75" x14ac:dyDescent="0.2">
      <c r="A18" s="1" t="s">
        <v>1905</v>
      </c>
      <c r="B18" s="1" t="s">
        <v>1904</v>
      </c>
      <c r="K18" s="1"/>
    </row>
    <row r="19" spans="1:11" ht="12.75" x14ac:dyDescent="0.2">
      <c r="A19" s="1" t="s">
        <v>1903</v>
      </c>
      <c r="B19" s="1" t="s">
        <v>1902</v>
      </c>
      <c r="K19" s="1"/>
    </row>
    <row r="20" spans="1:11" ht="12.75" x14ac:dyDescent="0.2">
      <c r="A20" s="1" t="s">
        <v>1901</v>
      </c>
      <c r="B20" s="1" t="s">
        <v>1900</v>
      </c>
      <c r="K20" s="1"/>
    </row>
    <row r="21" spans="1:11" ht="12.75" x14ac:dyDescent="0.2">
      <c r="A21" s="1" t="s">
        <v>1899</v>
      </c>
      <c r="B21" s="1" t="s">
        <v>1898</v>
      </c>
      <c r="K21" s="1"/>
    </row>
    <row r="22" spans="1:11" ht="12.75" x14ac:dyDescent="0.2">
      <c r="A22" s="1" t="s">
        <v>1897</v>
      </c>
      <c r="B22" s="1" t="s">
        <v>1896</v>
      </c>
      <c r="K22" s="1"/>
    </row>
    <row r="23" spans="1:11" ht="12.75" x14ac:dyDescent="0.2">
      <c r="A23" s="1" t="s">
        <v>1895</v>
      </c>
      <c r="B23" s="1" t="s">
        <v>1894</v>
      </c>
      <c r="K23" s="1"/>
    </row>
    <row r="24" spans="1:11" ht="12.75" x14ac:dyDescent="0.2">
      <c r="A24" s="1" t="s">
        <v>1893</v>
      </c>
      <c r="B24" s="1" t="s">
        <v>1892</v>
      </c>
      <c r="K24" s="1"/>
    </row>
    <row r="25" spans="1:11" ht="12.75" x14ac:dyDescent="0.2">
      <c r="A25" s="1" t="s">
        <v>1891</v>
      </c>
      <c r="B25" s="1" t="s">
        <v>1890</v>
      </c>
      <c r="K25" s="1"/>
    </row>
    <row r="26" spans="1:11" ht="12.75" x14ac:dyDescent="0.2">
      <c r="A26" s="1" t="s">
        <v>1889</v>
      </c>
      <c r="B26" s="1" t="s">
        <v>1888</v>
      </c>
      <c r="K26" s="1"/>
    </row>
    <row r="27" spans="1:11" ht="12.75" x14ac:dyDescent="0.2">
      <c r="A27" s="1" t="s">
        <v>1887</v>
      </c>
      <c r="B27" s="1" t="s">
        <v>1886</v>
      </c>
      <c r="K27" s="1"/>
    </row>
    <row r="28" spans="1:11" ht="12.75" x14ac:dyDescent="0.2">
      <c r="A28" s="1" t="s">
        <v>1885</v>
      </c>
      <c r="B28" s="1" t="s">
        <v>1884</v>
      </c>
      <c r="K28" s="1"/>
    </row>
    <row r="29" spans="1:11" ht="12.75" x14ac:dyDescent="0.2">
      <c r="A29" s="1" t="s">
        <v>1883</v>
      </c>
      <c r="B29" s="1" t="s">
        <v>1882</v>
      </c>
      <c r="K29" s="1"/>
    </row>
    <row r="30" spans="1:11" ht="12.75" x14ac:dyDescent="0.2">
      <c r="A30" s="1" t="s">
        <v>1881</v>
      </c>
      <c r="B30" s="1" t="s">
        <v>1880</v>
      </c>
      <c r="K30" s="1"/>
    </row>
    <row r="31" spans="1:11" ht="12.75" x14ac:dyDescent="0.2">
      <c r="A31" s="1" t="s">
        <v>1879</v>
      </c>
      <c r="B31" s="1" t="s">
        <v>1878</v>
      </c>
      <c r="K31" s="1"/>
    </row>
    <row r="32" spans="1:11" ht="12.75" x14ac:dyDescent="0.2">
      <c r="A32" s="1" t="s">
        <v>1877</v>
      </c>
      <c r="B32" s="1" t="s">
        <v>1876</v>
      </c>
      <c r="K32" s="1"/>
    </row>
    <row r="33" spans="1:11" ht="12.75" x14ac:dyDescent="0.2">
      <c r="A33" s="1" t="s">
        <v>1875</v>
      </c>
      <c r="B33" s="1" t="s">
        <v>1874</v>
      </c>
      <c r="K33" s="1"/>
    </row>
    <row r="34" spans="1:11" ht="12.75" x14ac:dyDescent="0.2">
      <c r="A34" s="1" t="s">
        <v>1873</v>
      </c>
      <c r="B34" s="1" t="s">
        <v>1872</v>
      </c>
      <c r="K34" s="1"/>
    </row>
    <row r="35" spans="1:11" ht="12.75" x14ac:dyDescent="0.2">
      <c r="A35" s="1" t="s">
        <v>1871</v>
      </c>
      <c r="B35" s="1" t="s">
        <v>1870</v>
      </c>
      <c r="K35" s="1"/>
    </row>
    <row r="36" spans="1:11" ht="12.75" x14ac:dyDescent="0.2">
      <c r="A36" s="1" t="s">
        <v>1869</v>
      </c>
      <c r="B36" s="1" t="s">
        <v>1868</v>
      </c>
      <c r="K36" s="1"/>
    </row>
    <row r="37" spans="1:11" ht="12.75" x14ac:dyDescent="0.2">
      <c r="A37" s="1" t="s">
        <v>1867</v>
      </c>
      <c r="B37" s="1" t="s">
        <v>1866</v>
      </c>
      <c r="K37" s="1"/>
    </row>
    <row r="38" spans="1:11" ht="12.75" x14ac:dyDescent="0.2">
      <c r="A38" s="1" t="s">
        <v>1865</v>
      </c>
      <c r="B38" s="1" t="s">
        <v>1864</v>
      </c>
      <c r="K38" s="1"/>
    </row>
    <row r="39" spans="1:11" ht="12.75" x14ac:dyDescent="0.2">
      <c r="K39" s="1"/>
    </row>
    <row r="40" spans="1:11" ht="12.75" x14ac:dyDescent="0.2">
      <c r="K40" s="1"/>
    </row>
    <row r="41" spans="1:11" ht="12.75" x14ac:dyDescent="0.2">
      <c r="K41" s="1"/>
    </row>
    <row r="42" spans="1:11" ht="12.75" x14ac:dyDescent="0.2">
      <c r="K42" s="1"/>
    </row>
    <row r="43" spans="1:11" ht="12.75" x14ac:dyDescent="0.2">
      <c r="K43" s="1"/>
    </row>
    <row r="44" spans="1:11" ht="12.75" x14ac:dyDescent="0.2">
      <c r="K44" s="1"/>
    </row>
    <row r="45" spans="1:11" ht="12.75" x14ac:dyDescent="0.2">
      <c r="K45" s="1"/>
    </row>
    <row r="46" spans="1:11" ht="12.75" x14ac:dyDescent="0.2">
      <c r="K46" s="1"/>
    </row>
    <row r="47" spans="1:11" ht="12.75" x14ac:dyDescent="0.2">
      <c r="K47" s="1"/>
    </row>
    <row r="48" spans="1:11" ht="12.75" x14ac:dyDescent="0.2">
      <c r="K48" s="1"/>
    </row>
    <row r="49" spans="11:11" ht="12.75" x14ac:dyDescent="0.2">
      <c r="K49" s="1"/>
    </row>
    <row r="50" spans="11:11" ht="12.75" x14ac:dyDescent="0.2">
      <c r="K50" s="1"/>
    </row>
    <row r="51" spans="11:11" ht="12.75" x14ac:dyDescent="0.2">
      <c r="K51" s="1"/>
    </row>
    <row r="52" spans="11:11" ht="12.75" x14ac:dyDescent="0.2">
      <c r="K52" s="1"/>
    </row>
    <row r="53" spans="11:11" ht="12.75" x14ac:dyDescent="0.2">
      <c r="K53" s="1"/>
    </row>
    <row r="54" spans="11:11" ht="12.75" x14ac:dyDescent="0.2">
      <c r="K54" s="1"/>
    </row>
    <row r="55" spans="11:11" ht="12.75" x14ac:dyDescent="0.2">
      <c r="K55" s="1"/>
    </row>
    <row r="56" spans="11:11" ht="12.75" x14ac:dyDescent="0.2">
      <c r="K56" s="1"/>
    </row>
    <row r="57" spans="11:11" ht="12.75" x14ac:dyDescent="0.2">
      <c r="K57" s="1"/>
    </row>
    <row r="58" spans="11:11" ht="12.75" x14ac:dyDescent="0.2">
      <c r="K58" s="1"/>
    </row>
    <row r="59" spans="11:11" ht="12.75" x14ac:dyDescent="0.2">
      <c r="K59" s="1"/>
    </row>
    <row r="60" spans="11:11" ht="12.75" x14ac:dyDescent="0.2">
      <c r="K60" s="1"/>
    </row>
    <row r="61" spans="11:11" ht="12.75" x14ac:dyDescent="0.2">
      <c r="K61" s="1"/>
    </row>
    <row r="62" spans="11:11" ht="12.75" x14ac:dyDescent="0.2">
      <c r="K62" s="1"/>
    </row>
    <row r="63" spans="11:11" ht="12.75" x14ac:dyDescent="0.2">
      <c r="K63" s="1"/>
    </row>
    <row r="64" spans="11:11" ht="12.75" x14ac:dyDescent="0.2">
      <c r="K64" s="1"/>
    </row>
    <row r="65" spans="11:11" ht="12.75" x14ac:dyDescent="0.2">
      <c r="K65" s="1"/>
    </row>
    <row r="66" spans="11:11" ht="12.75" x14ac:dyDescent="0.2">
      <c r="K66" s="1"/>
    </row>
    <row r="67" spans="11:11" ht="12.75" x14ac:dyDescent="0.2">
      <c r="K67" s="1"/>
    </row>
    <row r="68" spans="11:11" ht="12.75" x14ac:dyDescent="0.2">
      <c r="K68" s="1"/>
    </row>
    <row r="69" spans="11:11" ht="12.75" x14ac:dyDescent="0.2">
      <c r="K69" s="1"/>
    </row>
    <row r="70" spans="11:11" ht="12.75" x14ac:dyDescent="0.2">
      <c r="K70" s="1"/>
    </row>
    <row r="71" spans="11:11" ht="12.75" x14ac:dyDescent="0.2">
      <c r="K71" s="1"/>
    </row>
    <row r="72" spans="11:11" ht="12.75" x14ac:dyDescent="0.2">
      <c r="K72" s="1"/>
    </row>
    <row r="73" spans="11:11" ht="12.75" x14ac:dyDescent="0.2">
      <c r="K73" s="1"/>
    </row>
    <row r="74" spans="11:11" ht="12.75" x14ac:dyDescent="0.2">
      <c r="K74" s="1"/>
    </row>
    <row r="75" spans="11:11" ht="12.75" x14ac:dyDescent="0.2">
      <c r="K75" s="1"/>
    </row>
    <row r="76" spans="11:11" ht="12.75" x14ac:dyDescent="0.2">
      <c r="K76" s="1"/>
    </row>
    <row r="77" spans="11:11" ht="12.75" x14ac:dyDescent="0.2">
      <c r="K77" s="1"/>
    </row>
    <row r="78" spans="11:11" ht="12.75" x14ac:dyDescent="0.2">
      <c r="K78" s="1"/>
    </row>
    <row r="79" spans="11:11" ht="12.75" x14ac:dyDescent="0.2">
      <c r="K79" s="1"/>
    </row>
    <row r="80" spans="11:11" ht="12.75" x14ac:dyDescent="0.2">
      <c r="K80" s="1"/>
    </row>
    <row r="81" spans="11:11" ht="12.75" x14ac:dyDescent="0.2">
      <c r="K81" s="1"/>
    </row>
    <row r="82" spans="11:11" ht="12.75" x14ac:dyDescent="0.2">
      <c r="K82" s="1"/>
    </row>
    <row r="83" spans="11:11" ht="12.75" x14ac:dyDescent="0.2">
      <c r="K83" s="1"/>
    </row>
    <row r="84" spans="11:11" ht="12.75" x14ac:dyDescent="0.2">
      <c r="K84" s="1"/>
    </row>
    <row r="85" spans="11:11" ht="12.75" x14ac:dyDescent="0.2">
      <c r="K85" s="1"/>
    </row>
    <row r="86" spans="11:11" ht="12.75" x14ac:dyDescent="0.2">
      <c r="K86" s="1"/>
    </row>
    <row r="87" spans="11:11" ht="12.75" x14ac:dyDescent="0.2">
      <c r="K87" s="1"/>
    </row>
    <row r="88" spans="11:11" ht="12.75" x14ac:dyDescent="0.2">
      <c r="K88" s="1"/>
    </row>
    <row r="89" spans="11:11" ht="12.75" x14ac:dyDescent="0.2">
      <c r="K89" s="1"/>
    </row>
    <row r="90" spans="11:11" ht="12.75" x14ac:dyDescent="0.2">
      <c r="K90" s="1"/>
    </row>
    <row r="91" spans="11:11" ht="12.75" x14ac:dyDescent="0.2">
      <c r="K91" s="1"/>
    </row>
    <row r="92" spans="11:11" ht="12.75" x14ac:dyDescent="0.2">
      <c r="K92" s="1"/>
    </row>
    <row r="93" spans="11:11" ht="12.75" x14ac:dyDescent="0.2">
      <c r="K93" s="1"/>
    </row>
    <row r="94" spans="11:11" ht="12.75" x14ac:dyDescent="0.2">
      <c r="K94" s="1"/>
    </row>
    <row r="95" spans="11:11" ht="12.75" x14ac:dyDescent="0.2">
      <c r="K95" s="1"/>
    </row>
    <row r="96" spans="11:11" ht="12.75" x14ac:dyDescent="0.2">
      <c r="K96" s="1"/>
    </row>
    <row r="97" spans="11:11" ht="12.75" x14ac:dyDescent="0.2">
      <c r="K97" s="1"/>
    </row>
    <row r="98" spans="11:11" ht="12.75" x14ac:dyDescent="0.2">
      <c r="K98" s="1"/>
    </row>
    <row r="99" spans="11:11" ht="12.75" x14ac:dyDescent="0.2">
      <c r="K99" s="1"/>
    </row>
    <row r="100" spans="11:11" ht="12.75" x14ac:dyDescent="0.2">
      <c r="K100" s="1"/>
    </row>
    <row r="101" spans="11:11" ht="12.75" x14ac:dyDescent="0.2">
      <c r="K101" s="1"/>
    </row>
    <row r="102" spans="11:11" ht="12.75" x14ac:dyDescent="0.2">
      <c r="K102" s="1"/>
    </row>
    <row r="103" spans="11:11" ht="12.75" x14ac:dyDescent="0.2">
      <c r="K103" s="1"/>
    </row>
    <row r="104" spans="11:11" ht="12.75" x14ac:dyDescent="0.2">
      <c r="K104" s="1"/>
    </row>
    <row r="105" spans="11:11" ht="12.75" x14ac:dyDescent="0.2">
      <c r="K105" s="1"/>
    </row>
    <row r="106" spans="11:11" ht="12.75" x14ac:dyDescent="0.2">
      <c r="K106" s="1"/>
    </row>
    <row r="107" spans="11:11" ht="12.75" x14ac:dyDescent="0.2">
      <c r="K107" s="1"/>
    </row>
    <row r="108" spans="11:11" ht="12.75" x14ac:dyDescent="0.2">
      <c r="K108" s="1"/>
    </row>
    <row r="109" spans="11:11" ht="12.75" x14ac:dyDescent="0.2">
      <c r="K109" s="1"/>
    </row>
    <row r="110" spans="11:11" ht="12.75" x14ac:dyDescent="0.2">
      <c r="K110" s="1"/>
    </row>
    <row r="111" spans="11:11" ht="12.75" x14ac:dyDescent="0.2">
      <c r="K111" s="1"/>
    </row>
    <row r="112" spans="11:11" ht="12.75" x14ac:dyDescent="0.2">
      <c r="K112" s="1"/>
    </row>
    <row r="113" spans="11:11" ht="12.75" x14ac:dyDescent="0.2">
      <c r="K113" s="1"/>
    </row>
    <row r="114" spans="11:11" ht="12.75" x14ac:dyDescent="0.2">
      <c r="K114" s="1"/>
    </row>
    <row r="115" spans="11:11" ht="12.75" x14ac:dyDescent="0.2">
      <c r="K115" s="1"/>
    </row>
    <row r="116" spans="11:11" ht="12.75" x14ac:dyDescent="0.2">
      <c r="K116" s="1"/>
    </row>
    <row r="117" spans="11:11" ht="12.75" x14ac:dyDescent="0.2">
      <c r="K117" s="1"/>
    </row>
    <row r="118" spans="11:11" ht="12.75" x14ac:dyDescent="0.2">
      <c r="K118" s="1"/>
    </row>
    <row r="119" spans="11:11" ht="12.75" x14ac:dyDescent="0.2">
      <c r="K119" s="1"/>
    </row>
    <row r="120" spans="11:11" ht="12.75" x14ac:dyDescent="0.2">
      <c r="K120" s="1"/>
    </row>
    <row r="121" spans="11:11" ht="12.75" x14ac:dyDescent="0.2">
      <c r="K121" s="1"/>
    </row>
    <row r="122" spans="11:11" ht="12.75" x14ac:dyDescent="0.2">
      <c r="K122" s="1"/>
    </row>
    <row r="123" spans="11:11" ht="12.75" x14ac:dyDescent="0.2">
      <c r="K123" s="1"/>
    </row>
    <row r="124" spans="11:11" ht="12.75" x14ac:dyDescent="0.2">
      <c r="K124" s="1"/>
    </row>
    <row r="125" spans="11:11" ht="12.75" x14ac:dyDescent="0.2">
      <c r="K125" s="1"/>
    </row>
    <row r="126" spans="11:11" ht="12.75" x14ac:dyDescent="0.2">
      <c r="K126" s="1"/>
    </row>
    <row r="127" spans="11:11" ht="12.75" x14ac:dyDescent="0.2">
      <c r="K127" s="1"/>
    </row>
    <row r="128" spans="11:11" ht="12.75" x14ac:dyDescent="0.2">
      <c r="K128" s="1"/>
    </row>
    <row r="129" spans="11:11" ht="12.75" x14ac:dyDescent="0.2">
      <c r="K129" s="1"/>
    </row>
    <row r="130" spans="11:11" ht="12.75" x14ac:dyDescent="0.2">
      <c r="K130" s="1"/>
    </row>
    <row r="131" spans="11:11" ht="12.75" x14ac:dyDescent="0.2">
      <c r="K131" s="1"/>
    </row>
    <row r="132" spans="11:11" ht="12.75" x14ac:dyDescent="0.2">
      <c r="K132" s="1"/>
    </row>
    <row r="133" spans="11:11" ht="12.75" x14ac:dyDescent="0.2">
      <c r="K133" s="1"/>
    </row>
    <row r="134" spans="11:11" ht="12.75" x14ac:dyDescent="0.2">
      <c r="K134" s="1"/>
    </row>
    <row r="135" spans="11:11" ht="12.75" x14ac:dyDescent="0.2">
      <c r="K135" s="1"/>
    </row>
    <row r="136" spans="11:11" ht="12.75" x14ac:dyDescent="0.2">
      <c r="K136" s="1"/>
    </row>
    <row r="137" spans="11:11" ht="12.75" x14ac:dyDescent="0.2">
      <c r="K137" s="1"/>
    </row>
    <row r="138" spans="11:11" ht="12.75" x14ac:dyDescent="0.2">
      <c r="K138" s="1"/>
    </row>
    <row r="139" spans="11:11" ht="12.75" x14ac:dyDescent="0.2">
      <c r="K139" s="1"/>
    </row>
    <row r="140" spans="11:11" ht="12.75" x14ac:dyDescent="0.2">
      <c r="K140" s="1"/>
    </row>
    <row r="141" spans="11:11" ht="12.75" x14ac:dyDescent="0.2">
      <c r="K141" s="1"/>
    </row>
    <row r="142" spans="11:11" ht="12.75" x14ac:dyDescent="0.2">
      <c r="K142" s="1"/>
    </row>
    <row r="143" spans="11:11" ht="12.75" x14ac:dyDescent="0.2">
      <c r="K143" s="1"/>
    </row>
    <row r="144" spans="11:11" ht="12.75" x14ac:dyDescent="0.2">
      <c r="K144" s="1"/>
    </row>
    <row r="145" spans="11:11" ht="12.75" x14ac:dyDescent="0.2">
      <c r="K145" s="1"/>
    </row>
    <row r="146" spans="11:11" ht="12.75" x14ac:dyDescent="0.2">
      <c r="K146" s="1"/>
    </row>
    <row r="147" spans="11:11" ht="12.75" x14ac:dyDescent="0.2">
      <c r="K147" s="1"/>
    </row>
    <row r="148" spans="11:11" ht="12.75" x14ac:dyDescent="0.2">
      <c r="K148" s="1"/>
    </row>
    <row r="149" spans="11:11" ht="12.75" x14ac:dyDescent="0.2">
      <c r="K149" s="1"/>
    </row>
    <row r="150" spans="11:11" ht="12.75" x14ac:dyDescent="0.2">
      <c r="K150" s="1"/>
    </row>
    <row r="151" spans="11:11" ht="12.75" x14ac:dyDescent="0.2">
      <c r="K151" s="1"/>
    </row>
    <row r="152" spans="11:11" ht="12.75" x14ac:dyDescent="0.2">
      <c r="K152" s="1"/>
    </row>
    <row r="153" spans="11:11" ht="12.75" x14ac:dyDescent="0.2">
      <c r="K153" s="1"/>
    </row>
    <row r="154" spans="11:11" ht="12.75" x14ac:dyDescent="0.2">
      <c r="K154" s="1"/>
    </row>
    <row r="155" spans="11:11" ht="12.75" x14ac:dyDescent="0.2">
      <c r="K155" s="1"/>
    </row>
    <row r="156" spans="11:11" ht="12.75" x14ac:dyDescent="0.2">
      <c r="K156" s="1"/>
    </row>
    <row r="157" spans="11:11" ht="12.75" x14ac:dyDescent="0.2">
      <c r="K157" s="1"/>
    </row>
    <row r="158" spans="11:11" ht="12.75" x14ac:dyDescent="0.2">
      <c r="K158" s="1"/>
    </row>
    <row r="159" spans="11:11" ht="12.75" x14ac:dyDescent="0.2">
      <c r="K159" s="1"/>
    </row>
    <row r="160" spans="11:11" ht="12.75" x14ac:dyDescent="0.2">
      <c r="K160" s="1"/>
    </row>
    <row r="161" spans="11:11" ht="12.75" x14ac:dyDescent="0.2">
      <c r="K161" s="1"/>
    </row>
    <row r="162" spans="11:11" ht="12.75" x14ac:dyDescent="0.2">
      <c r="K162" s="1"/>
    </row>
    <row r="163" spans="11:11" ht="12.75" x14ac:dyDescent="0.2">
      <c r="K163" s="1"/>
    </row>
    <row r="164" spans="11:11" ht="12.75" x14ac:dyDescent="0.2">
      <c r="K164" s="1"/>
    </row>
    <row r="165" spans="11:11" ht="12.75" x14ac:dyDescent="0.2">
      <c r="K165" s="1"/>
    </row>
    <row r="166" spans="11:11" ht="12.75" x14ac:dyDescent="0.2">
      <c r="K166" s="1"/>
    </row>
    <row r="167" spans="11:11" ht="12.75" x14ac:dyDescent="0.2">
      <c r="K167" s="1"/>
    </row>
    <row r="168" spans="11:11" ht="12.75" x14ac:dyDescent="0.2">
      <c r="K168" s="1"/>
    </row>
    <row r="169" spans="11:11" ht="12.75" x14ac:dyDescent="0.2">
      <c r="K169" s="1"/>
    </row>
    <row r="170" spans="11:11" ht="12.75" x14ac:dyDescent="0.2">
      <c r="K170" s="1"/>
    </row>
    <row r="171" spans="11:11" ht="12.75" x14ac:dyDescent="0.2">
      <c r="K171" s="1"/>
    </row>
    <row r="172" spans="11:11" ht="12.75" x14ac:dyDescent="0.2">
      <c r="K172" s="1"/>
    </row>
    <row r="173" spans="11:11" ht="12.75" x14ac:dyDescent="0.2">
      <c r="K173" s="1"/>
    </row>
    <row r="174" spans="11:11" ht="12.75" x14ac:dyDescent="0.2">
      <c r="K174" s="1"/>
    </row>
    <row r="175" spans="11:11" ht="12.75" x14ac:dyDescent="0.2">
      <c r="K175" s="1"/>
    </row>
    <row r="176" spans="11:11" ht="12.75" x14ac:dyDescent="0.2">
      <c r="K176" s="1"/>
    </row>
    <row r="177" spans="11:11" ht="12.75" x14ac:dyDescent="0.2">
      <c r="K177" s="1"/>
    </row>
    <row r="178" spans="11:11" ht="12.75" x14ac:dyDescent="0.2">
      <c r="K178" s="1"/>
    </row>
    <row r="179" spans="11:11" ht="12.75" x14ac:dyDescent="0.2">
      <c r="K179" s="1"/>
    </row>
    <row r="180" spans="11:11" ht="12.75" x14ac:dyDescent="0.2">
      <c r="K180" s="1"/>
    </row>
    <row r="181" spans="11:11" ht="12.75" x14ac:dyDescent="0.2">
      <c r="K181" s="1"/>
    </row>
    <row r="182" spans="11:11" ht="12.75" x14ac:dyDescent="0.2">
      <c r="K182" s="1"/>
    </row>
    <row r="183" spans="11:11" ht="12.75" x14ac:dyDescent="0.2">
      <c r="K183" s="1"/>
    </row>
    <row r="184" spans="11:11" ht="12.75" x14ac:dyDescent="0.2">
      <c r="K184" s="1"/>
    </row>
    <row r="185" spans="11:11" ht="12.75" x14ac:dyDescent="0.2">
      <c r="K185" s="1"/>
    </row>
    <row r="186" spans="11:11" ht="12.75" x14ac:dyDescent="0.2">
      <c r="K186" s="1"/>
    </row>
    <row r="187" spans="11:11" ht="12.75" x14ac:dyDescent="0.2">
      <c r="K187" s="1"/>
    </row>
    <row r="188" spans="11:11" ht="12.75" x14ac:dyDescent="0.2">
      <c r="K188" s="1"/>
    </row>
    <row r="189" spans="11:11" ht="12.75" x14ac:dyDescent="0.2">
      <c r="K189" s="1"/>
    </row>
    <row r="190" spans="11:11" ht="12.75" x14ac:dyDescent="0.2">
      <c r="K190" s="1"/>
    </row>
    <row r="191" spans="11:11" ht="12.75" x14ac:dyDescent="0.2">
      <c r="K191" s="1"/>
    </row>
    <row r="192" spans="11:11" ht="12.75" x14ac:dyDescent="0.2">
      <c r="K192" s="1"/>
    </row>
    <row r="193" spans="11:11" ht="12.75" x14ac:dyDescent="0.2">
      <c r="K193" s="1"/>
    </row>
    <row r="194" spans="11:11" ht="12.75" x14ac:dyDescent="0.2">
      <c r="K194" s="1"/>
    </row>
    <row r="195" spans="11:11" ht="12.75" x14ac:dyDescent="0.2">
      <c r="K195" s="1"/>
    </row>
    <row r="196" spans="11:11" ht="12.75" x14ac:dyDescent="0.2">
      <c r="K196" s="1"/>
    </row>
    <row r="197" spans="11:11" ht="12.75" x14ac:dyDescent="0.2">
      <c r="K197" s="1"/>
    </row>
    <row r="198" spans="11:11" ht="12.75" x14ac:dyDescent="0.2">
      <c r="K198" s="1"/>
    </row>
    <row r="199" spans="11:11" ht="12.75" x14ac:dyDescent="0.2">
      <c r="K199" s="1"/>
    </row>
    <row r="200" spans="11:11" ht="12.75" x14ac:dyDescent="0.2">
      <c r="K200" s="1"/>
    </row>
    <row r="201" spans="11:11" ht="12.75" x14ac:dyDescent="0.2">
      <c r="K201" s="1"/>
    </row>
    <row r="202" spans="11:11" ht="12.75" x14ac:dyDescent="0.2">
      <c r="K202" s="1"/>
    </row>
    <row r="203" spans="11:11" ht="12.75" x14ac:dyDescent="0.2">
      <c r="K203" s="1"/>
    </row>
    <row r="204" spans="11:11" ht="12.75" x14ac:dyDescent="0.2">
      <c r="K204" s="1"/>
    </row>
    <row r="205" spans="11:11" ht="12.75" x14ac:dyDescent="0.2">
      <c r="K205" s="1"/>
    </row>
    <row r="206" spans="11:11" ht="12.75" x14ac:dyDescent="0.2">
      <c r="K206" s="1"/>
    </row>
    <row r="207" spans="11:11" ht="12.75" x14ac:dyDescent="0.2">
      <c r="K207" s="1"/>
    </row>
    <row r="208" spans="11:11" ht="12.75" x14ac:dyDescent="0.2">
      <c r="K208" s="1"/>
    </row>
    <row r="209" spans="11:11" ht="12.75" x14ac:dyDescent="0.2">
      <c r="K209" s="1"/>
    </row>
    <row r="210" spans="11:11" ht="12.75" x14ac:dyDescent="0.2">
      <c r="K210" s="1"/>
    </row>
    <row r="211" spans="11:11" ht="12.75" x14ac:dyDescent="0.2">
      <c r="K211" s="1"/>
    </row>
    <row r="212" spans="11:11" ht="12.75" x14ac:dyDescent="0.2">
      <c r="K212" s="1"/>
    </row>
    <row r="213" spans="11:11" ht="12.75" x14ac:dyDescent="0.2">
      <c r="K213" s="1"/>
    </row>
    <row r="214" spans="11:11" ht="12.75" x14ac:dyDescent="0.2">
      <c r="K214" s="1"/>
    </row>
    <row r="215" spans="11:11" ht="12.75" x14ac:dyDescent="0.2">
      <c r="K215" s="1"/>
    </row>
    <row r="216" spans="11:11" ht="12.75" x14ac:dyDescent="0.2">
      <c r="K216" s="1"/>
    </row>
    <row r="217" spans="11:11" ht="12.75" x14ac:dyDescent="0.2">
      <c r="K217" s="1"/>
    </row>
    <row r="218" spans="11:11" ht="12.75" x14ac:dyDescent="0.2">
      <c r="K218" s="1"/>
    </row>
    <row r="219" spans="11:11" ht="12.75" x14ac:dyDescent="0.2">
      <c r="K219" s="1"/>
    </row>
    <row r="220" spans="11:11" ht="12.75" x14ac:dyDescent="0.2">
      <c r="K220" s="1"/>
    </row>
    <row r="221" spans="11:11" ht="12.75" x14ac:dyDescent="0.2">
      <c r="K221" s="1"/>
    </row>
    <row r="222" spans="11:11" ht="12.75" x14ac:dyDescent="0.2">
      <c r="K222" s="1"/>
    </row>
    <row r="223" spans="11:11" ht="12.75" x14ac:dyDescent="0.2">
      <c r="K223" s="1"/>
    </row>
    <row r="224" spans="11:11" ht="12.75" x14ac:dyDescent="0.2">
      <c r="K224" s="1"/>
    </row>
    <row r="225" spans="11:11" ht="12.75" x14ac:dyDescent="0.2">
      <c r="K225" s="1"/>
    </row>
    <row r="226" spans="11:11" ht="12.75" x14ac:dyDescent="0.2">
      <c r="K226" s="1"/>
    </row>
    <row r="227" spans="11:11" ht="12.75" x14ac:dyDescent="0.2">
      <c r="K227" s="1"/>
    </row>
    <row r="228" spans="11:11" ht="12.75" x14ac:dyDescent="0.2">
      <c r="K228" s="1"/>
    </row>
    <row r="229" spans="11:11" ht="12.75" x14ac:dyDescent="0.2">
      <c r="K229" s="1"/>
    </row>
    <row r="230" spans="11:11" ht="12.75" x14ac:dyDescent="0.2">
      <c r="K230" s="1"/>
    </row>
    <row r="231" spans="11:11" ht="12.75" x14ac:dyDescent="0.2">
      <c r="K231" s="1"/>
    </row>
    <row r="232" spans="11:11" ht="12.75" x14ac:dyDescent="0.2">
      <c r="K232" s="1"/>
    </row>
    <row r="233" spans="11:11" ht="12.75" x14ac:dyDescent="0.2">
      <c r="K233" s="1"/>
    </row>
    <row r="234" spans="11:11" ht="12.75" x14ac:dyDescent="0.2">
      <c r="K234" s="1"/>
    </row>
    <row r="235" spans="11:11" ht="12.75" x14ac:dyDescent="0.2">
      <c r="K235" s="1"/>
    </row>
    <row r="236" spans="11:11" ht="12.75" x14ac:dyDescent="0.2">
      <c r="K236" s="1"/>
    </row>
    <row r="237" spans="11:11" ht="12.75" x14ac:dyDescent="0.2">
      <c r="K237" s="1"/>
    </row>
    <row r="238" spans="11:11" ht="12.75" x14ac:dyDescent="0.2">
      <c r="K238" s="1"/>
    </row>
    <row r="239" spans="11:11" ht="12.75" x14ac:dyDescent="0.2">
      <c r="K239" s="1"/>
    </row>
    <row r="240" spans="11:11" ht="12.75" x14ac:dyDescent="0.2">
      <c r="K240" s="1"/>
    </row>
    <row r="241" spans="11:11" ht="12.75" x14ac:dyDescent="0.2">
      <c r="K241" s="1"/>
    </row>
    <row r="242" spans="11:11" ht="12.75" x14ac:dyDescent="0.2">
      <c r="K242" s="1"/>
    </row>
    <row r="243" spans="11:11" ht="12.75" x14ac:dyDescent="0.2">
      <c r="K243" s="1"/>
    </row>
    <row r="244" spans="11:11" ht="12.75" x14ac:dyDescent="0.2">
      <c r="K244" s="1"/>
    </row>
    <row r="245" spans="11:11" ht="12.75" x14ac:dyDescent="0.2">
      <c r="K245" s="1"/>
    </row>
    <row r="246" spans="11:11" ht="12.75" x14ac:dyDescent="0.2">
      <c r="K246" s="1"/>
    </row>
    <row r="247" spans="11:11" ht="12.75" x14ac:dyDescent="0.2">
      <c r="K247" s="1"/>
    </row>
    <row r="248" spans="11:11" ht="12.75" x14ac:dyDescent="0.2">
      <c r="K248" s="1"/>
    </row>
    <row r="249" spans="11:11" ht="12.75" x14ac:dyDescent="0.2">
      <c r="K249" s="1"/>
    </row>
    <row r="250" spans="11:11" ht="12.75" x14ac:dyDescent="0.2">
      <c r="K250" s="1"/>
    </row>
    <row r="251" spans="11:11" ht="12.75" x14ac:dyDescent="0.2">
      <c r="K251" s="1"/>
    </row>
    <row r="252" spans="11:11" ht="12.75" x14ac:dyDescent="0.2">
      <c r="K252" s="1"/>
    </row>
    <row r="253" spans="11:11" ht="12.75" x14ac:dyDescent="0.2">
      <c r="K253" s="1"/>
    </row>
    <row r="254" spans="11:11" ht="12.75" x14ac:dyDescent="0.2">
      <c r="K254" s="1"/>
    </row>
    <row r="255" spans="11:11" ht="12.75" x14ac:dyDescent="0.2">
      <c r="K255" s="1"/>
    </row>
    <row r="256" spans="11:11" ht="12.75" x14ac:dyDescent="0.2">
      <c r="K256" s="1"/>
    </row>
    <row r="257" spans="11:11" ht="12.75" x14ac:dyDescent="0.2">
      <c r="K257" s="1"/>
    </row>
    <row r="258" spans="11:11" ht="12.75" x14ac:dyDescent="0.2">
      <c r="K258" s="1"/>
    </row>
    <row r="259" spans="11:11" ht="12.75" x14ac:dyDescent="0.2">
      <c r="K259" s="1"/>
    </row>
    <row r="260" spans="11:11" ht="12.75" x14ac:dyDescent="0.2">
      <c r="K260" s="1"/>
    </row>
    <row r="261" spans="11:11" ht="12.75" x14ac:dyDescent="0.2">
      <c r="K261" s="1"/>
    </row>
    <row r="262" spans="11:11" ht="12.75" x14ac:dyDescent="0.2">
      <c r="K262" s="1"/>
    </row>
    <row r="263" spans="11:11" ht="12.75" x14ac:dyDescent="0.2">
      <c r="K263" s="1"/>
    </row>
    <row r="264" spans="11:11" ht="12.75" x14ac:dyDescent="0.2">
      <c r="K264" s="1"/>
    </row>
    <row r="265" spans="11:11" ht="12.75" x14ac:dyDescent="0.2">
      <c r="K265" s="1"/>
    </row>
    <row r="266" spans="11:11" ht="12.75" x14ac:dyDescent="0.2">
      <c r="K266" s="1"/>
    </row>
    <row r="267" spans="11:11" ht="12.75" x14ac:dyDescent="0.2">
      <c r="K267" s="1"/>
    </row>
    <row r="268" spans="11:11" ht="12.75" x14ac:dyDescent="0.2">
      <c r="K268" s="1"/>
    </row>
    <row r="269" spans="11:11" ht="12.75" x14ac:dyDescent="0.2">
      <c r="K269" s="1"/>
    </row>
    <row r="270" spans="11:11" ht="12.75" x14ac:dyDescent="0.2">
      <c r="K270" s="1"/>
    </row>
    <row r="271" spans="11:11" ht="12.75" x14ac:dyDescent="0.2">
      <c r="K271" s="1"/>
    </row>
    <row r="272" spans="11:11" ht="12.75" x14ac:dyDescent="0.2">
      <c r="K272" s="1"/>
    </row>
    <row r="273" spans="11:11" ht="12.75" x14ac:dyDescent="0.2">
      <c r="K273" s="1"/>
    </row>
    <row r="274" spans="11:11" ht="12.75" x14ac:dyDescent="0.2">
      <c r="K274" s="1"/>
    </row>
    <row r="275" spans="11:11" ht="12.75" x14ac:dyDescent="0.2">
      <c r="K275" s="1"/>
    </row>
    <row r="276" spans="11:11" ht="12.75" x14ac:dyDescent="0.2">
      <c r="K276" s="1"/>
    </row>
    <row r="277" spans="11:11" ht="12.75" x14ac:dyDescent="0.2">
      <c r="K277" s="1"/>
    </row>
    <row r="278" spans="11:11" ht="12.75" x14ac:dyDescent="0.2">
      <c r="K278" s="1"/>
    </row>
    <row r="279" spans="11:11" ht="12.75" x14ac:dyDescent="0.2">
      <c r="K279" s="1"/>
    </row>
    <row r="280" spans="11:11" ht="12.75" x14ac:dyDescent="0.2">
      <c r="K280" s="1"/>
    </row>
    <row r="281" spans="11:11" ht="12.75" x14ac:dyDescent="0.2">
      <c r="K281" s="1"/>
    </row>
    <row r="282" spans="11:11" ht="12.75" x14ac:dyDescent="0.2">
      <c r="K282" s="1"/>
    </row>
    <row r="283" spans="11:11" ht="12.75" x14ac:dyDescent="0.2">
      <c r="K283" s="1"/>
    </row>
    <row r="284" spans="11:11" ht="12.75" x14ac:dyDescent="0.2">
      <c r="K284" s="1"/>
    </row>
    <row r="285" spans="11:11" ht="12.75" x14ac:dyDescent="0.2">
      <c r="K285" s="1"/>
    </row>
    <row r="286" spans="11:11" ht="12.75" x14ac:dyDescent="0.2">
      <c r="K286" s="1"/>
    </row>
    <row r="287" spans="11:11" ht="12.75" x14ac:dyDescent="0.2">
      <c r="K287" s="1"/>
    </row>
    <row r="288" spans="11:11" ht="12.75" x14ac:dyDescent="0.2">
      <c r="K288" s="1"/>
    </row>
    <row r="289" spans="11:11" ht="12.75" x14ac:dyDescent="0.2">
      <c r="K289" s="1"/>
    </row>
    <row r="290" spans="11:11" ht="12.75" x14ac:dyDescent="0.2">
      <c r="K290" s="1"/>
    </row>
    <row r="291" spans="11:11" ht="12.75" x14ac:dyDescent="0.2">
      <c r="K291" s="1"/>
    </row>
    <row r="292" spans="11:11" ht="12.75" x14ac:dyDescent="0.2">
      <c r="K292" s="1"/>
    </row>
    <row r="293" spans="11:11" ht="12.75" x14ac:dyDescent="0.2">
      <c r="K293" s="1"/>
    </row>
    <row r="294" spans="11:11" ht="12.75" x14ac:dyDescent="0.2">
      <c r="K294" s="1"/>
    </row>
    <row r="295" spans="11:11" ht="12.75" x14ac:dyDescent="0.2">
      <c r="K295" s="1"/>
    </row>
    <row r="296" spans="11:11" ht="12.75" x14ac:dyDescent="0.2">
      <c r="K296" s="1"/>
    </row>
    <row r="297" spans="11:11" ht="12.75" x14ac:dyDescent="0.2">
      <c r="K297" s="1"/>
    </row>
    <row r="298" spans="11:11" ht="12.75" x14ac:dyDescent="0.2">
      <c r="K298" s="1"/>
    </row>
    <row r="299" spans="11:11" ht="12.75" x14ac:dyDescent="0.2">
      <c r="K299" s="1"/>
    </row>
    <row r="300" spans="11:11" ht="12.75" x14ac:dyDescent="0.2">
      <c r="K300" s="1"/>
    </row>
    <row r="301" spans="11:11" ht="12.75" x14ac:dyDescent="0.2">
      <c r="K301" s="1"/>
    </row>
    <row r="302" spans="11:11" ht="12.75" x14ac:dyDescent="0.2">
      <c r="K302" s="1"/>
    </row>
    <row r="303" spans="11:11" ht="12.75" x14ac:dyDescent="0.2">
      <c r="K303" s="1"/>
    </row>
    <row r="304" spans="11:11" ht="12.75" x14ac:dyDescent="0.2">
      <c r="K304" s="1"/>
    </row>
    <row r="305" spans="11:11" ht="12.75" x14ac:dyDescent="0.2">
      <c r="K305" s="1"/>
    </row>
    <row r="306" spans="11:11" ht="12.75" x14ac:dyDescent="0.2">
      <c r="K306" s="1"/>
    </row>
    <row r="307" spans="11:11" ht="12.75" x14ac:dyDescent="0.2">
      <c r="K307" s="1"/>
    </row>
    <row r="308" spans="11:11" ht="12.75" x14ac:dyDescent="0.2">
      <c r="K308" s="1"/>
    </row>
    <row r="309" spans="11:11" ht="12.75" x14ac:dyDescent="0.2">
      <c r="K309" s="1"/>
    </row>
    <row r="310" spans="11:11" ht="12.75" x14ac:dyDescent="0.2">
      <c r="K310" s="1"/>
    </row>
    <row r="311" spans="11:11" ht="12.75" x14ac:dyDescent="0.2">
      <c r="K311" s="1"/>
    </row>
    <row r="312" spans="11:11" ht="12.75" x14ac:dyDescent="0.2">
      <c r="K312" s="1"/>
    </row>
    <row r="313" spans="11:11" ht="12.75" x14ac:dyDescent="0.2">
      <c r="K313" s="1"/>
    </row>
    <row r="314" spans="11:11" ht="12.75" x14ac:dyDescent="0.2">
      <c r="K314" s="1"/>
    </row>
    <row r="315" spans="11:11" ht="12.75" x14ac:dyDescent="0.2">
      <c r="K315" s="1"/>
    </row>
    <row r="316" spans="11:11" ht="12.75" x14ac:dyDescent="0.2">
      <c r="K316" s="1"/>
    </row>
    <row r="317" spans="11:11" ht="12.75" x14ac:dyDescent="0.2">
      <c r="K317" s="1"/>
    </row>
    <row r="318" spans="11:11" ht="12.75" x14ac:dyDescent="0.2">
      <c r="K318" s="1"/>
    </row>
    <row r="319" spans="11:11" ht="12.75" x14ac:dyDescent="0.2">
      <c r="K319" s="1"/>
    </row>
    <row r="320" spans="11:11" ht="12.75" x14ac:dyDescent="0.2">
      <c r="K320" s="1"/>
    </row>
    <row r="321" spans="11:11" ht="12.75" x14ac:dyDescent="0.2">
      <c r="K321" s="1"/>
    </row>
    <row r="322" spans="11:11" ht="12.75" x14ac:dyDescent="0.2">
      <c r="K322" s="1"/>
    </row>
    <row r="323" spans="11:11" ht="12.75" x14ac:dyDescent="0.2">
      <c r="K323" s="1"/>
    </row>
    <row r="324" spans="11:11" ht="12.75" x14ac:dyDescent="0.2">
      <c r="K324" s="1"/>
    </row>
    <row r="325" spans="11:11" ht="12.75" x14ac:dyDescent="0.2">
      <c r="K325" s="1"/>
    </row>
    <row r="326" spans="11:11" ht="12.75" x14ac:dyDescent="0.2">
      <c r="K326" s="1"/>
    </row>
    <row r="327" spans="11:11" ht="12.75" x14ac:dyDescent="0.2">
      <c r="K327" s="1"/>
    </row>
    <row r="328" spans="11:11" ht="12.75" x14ac:dyDescent="0.2">
      <c r="K328" s="1"/>
    </row>
    <row r="329" spans="11:11" ht="12.75" x14ac:dyDescent="0.2">
      <c r="K329" s="1"/>
    </row>
    <row r="330" spans="11:11" ht="12.75" x14ac:dyDescent="0.2">
      <c r="K330" s="1"/>
    </row>
    <row r="331" spans="11:11" ht="12.75" x14ac:dyDescent="0.2">
      <c r="K331" s="1"/>
    </row>
    <row r="332" spans="11:11" ht="12.75" x14ac:dyDescent="0.2">
      <c r="K332" s="1"/>
    </row>
    <row r="333" spans="11:11" ht="12.75" x14ac:dyDescent="0.2">
      <c r="K333" s="1"/>
    </row>
    <row r="334" spans="11:11" ht="12.75" x14ac:dyDescent="0.2">
      <c r="K334" s="1"/>
    </row>
    <row r="335" spans="11:11" ht="12.75" x14ac:dyDescent="0.2">
      <c r="K335" s="1"/>
    </row>
    <row r="336" spans="11:11" ht="12.75" x14ac:dyDescent="0.2">
      <c r="K336" s="1"/>
    </row>
    <row r="337" spans="11:11" ht="12.75" x14ac:dyDescent="0.2">
      <c r="K337" s="1"/>
    </row>
    <row r="338" spans="11:11" ht="12.75" x14ac:dyDescent="0.2">
      <c r="K338" s="1"/>
    </row>
    <row r="339" spans="11:11" ht="12.75" x14ac:dyDescent="0.2">
      <c r="K339" s="1"/>
    </row>
    <row r="340" spans="11:11" ht="12.75" x14ac:dyDescent="0.2">
      <c r="K340" s="1"/>
    </row>
    <row r="341" spans="11:11" ht="12.75" x14ac:dyDescent="0.2">
      <c r="K341" s="1"/>
    </row>
    <row r="342" spans="11:11" ht="12.75" x14ac:dyDescent="0.2">
      <c r="K342" s="1"/>
    </row>
    <row r="343" spans="11:11" ht="12.75" x14ac:dyDescent="0.2">
      <c r="K343" s="1"/>
    </row>
    <row r="344" spans="11:11" ht="12.75" x14ac:dyDescent="0.2">
      <c r="K344" s="1"/>
    </row>
    <row r="345" spans="11:11" ht="12.75" x14ac:dyDescent="0.2">
      <c r="K345" s="1"/>
    </row>
    <row r="346" spans="11:11" ht="12.75" x14ac:dyDescent="0.2">
      <c r="K346" s="1"/>
    </row>
    <row r="347" spans="11:11" ht="12.75" x14ac:dyDescent="0.2">
      <c r="K347" s="1"/>
    </row>
    <row r="348" spans="11:11" ht="12.75" x14ac:dyDescent="0.2">
      <c r="K348" s="1"/>
    </row>
    <row r="349" spans="11:11" ht="12.75" x14ac:dyDescent="0.2">
      <c r="K349" s="1"/>
    </row>
    <row r="350" spans="11:11" ht="12.75" x14ac:dyDescent="0.2">
      <c r="K350" s="1"/>
    </row>
    <row r="351" spans="11:11" ht="12.75" x14ac:dyDescent="0.2">
      <c r="K351" s="1"/>
    </row>
    <row r="352" spans="11:11" ht="12.75" x14ac:dyDescent="0.2">
      <c r="K3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T_DECO_ECB</vt:lpstr>
      <vt:lpstr>T_DECO_FRED</vt:lpstr>
      <vt:lpstr>T_DECO_EUROSTAT</vt:lpstr>
      <vt:lpstr>T_DECO_EUROSTAT_GEO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Missaglia</dc:creator>
  <cp:lastModifiedBy>Giuseppe Missaglia</cp:lastModifiedBy>
  <dcterms:created xsi:type="dcterms:W3CDTF">2025-08-15T07:38:34Z</dcterms:created>
  <dcterms:modified xsi:type="dcterms:W3CDTF">2025-08-25T12:19:53Z</dcterms:modified>
</cp:coreProperties>
</file>